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unity Reference" sheetId="1" state="visible" r:id="rId3"/>
    <sheet name="Deal Tracker" sheetId="2" state="visible" r:id="rId4"/>
    <sheet name="Scoring Guide" sheetId="3" state="visible" r:id="rId5"/>
    <sheet name="Negotiation Playboo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<sst xmlns="http://schemas.openxmlformats.org/spreadsheetml/2006/main" count="258" uniqueCount="179">
  <si>
    <t xml:space="preserve">DUBAI DISTRESS DEAL FINDER — Community &amp; Launch Price Reference</t>
  </si>
  <si>
    <t xml:space="preserve">Budget: AED 2,000,000 – 3,000,000 | Min 3BR | Villas &amp; Townhouses | Generated: 08 Mar 2026</t>
  </si>
  <si>
    <t xml:space="preserve">#</t>
  </si>
  <si>
    <t xml:space="preserve">Community</t>
  </si>
  <si>
    <t xml:space="preserve">Developer</t>
  </si>
  <si>
    <t xml:space="preserve">Type</t>
  </si>
  <si>
    <t xml:space="preserve">3BR Launch (AED)</t>
  </si>
  <si>
    <t xml:space="preserve">4BR Launch (AED)</t>
  </si>
  <si>
    <t xml:space="preserve">Current Avg Ask (AED)</t>
  </si>
  <si>
    <t xml:space="preserve">Discount Target (AED)</t>
  </si>
  <si>
    <t xml:space="preserve">Priority</t>
  </si>
  <si>
    <t xml:space="preserve">Notes</t>
  </si>
  <si>
    <t xml:space="preserve">Tilal Al Ghaf</t>
  </si>
  <si>
    <t xml:space="preserve">Majid Al Futtaim</t>
  </si>
  <si>
    <t xml:space="preserve">Townhouse/Villa</t>
  </si>
  <si>
    <t xml:space="preserve">CORE</t>
  </si>
  <si>
    <t xml:space="preserve">Elan launched from AED 1.26M. Current 3.5-5.1M. Huge gap = distress opportunity.</t>
  </si>
  <si>
    <t xml:space="preserve">DAMAC Lagoons</t>
  </si>
  <si>
    <t xml:space="preserve">DAMAC</t>
  </si>
  <si>
    <t xml:space="preserve">Early phases (Nice/Costa Brava) from 1.7M. Morocco 4BR at 2.7M (later phase).</t>
  </si>
  <si>
    <t xml:space="preserve">DAMAC Islands</t>
  </si>
  <si>
    <t xml:space="preserve">Nov 2024 launch. 4BR from AED 2.25M confirmed. 10B AED sold at launch.</t>
  </si>
  <si>
    <t xml:space="preserve">Dubai Hills Estate</t>
  </si>
  <si>
    <t xml:space="preserve">Emaar</t>
  </si>
  <si>
    <t xml:space="preserve">HIGH</t>
  </si>
  <si>
    <t xml:space="preserve">Maple III: 3BR from 2.1M, 4BR from 2.6M (2022 launch). Sidra villas above budget.</t>
  </si>
  <si>
    <t xml:space="preserve">Arabian Ranches 3</t>
  </si>
  <si>
    <t xml:space="preserve">Ruba, Joy, Sun, Bliss, Caya clusters. Some near budget ceiling.</t>
  </si>
  <si>
    <t xml:space="preserve">Arabian Ranches 2</t>
  </si>
  <si>
    <t xml:space="preserve">Villa</t>
  </si>
  <si>
    <t xml:space="preserve">MEDIUM</t>
  </si>
  <si>
    <t xml:space="preserve">Resale only. Palma, Lila, Rasha. Mostly above 3M now.</t>
  </si>
  <si>
    <t xml:space="preserve">Arabian Ranches</t>
  </si>
  <si>
    <t xml:space="preserve">LOW</t>
  </si>
  <si>
    <t xml:space="preserve">Legacy community. Mostly above budget. Al Reem, Saheel.</t>
  </si>
  <si>
    <t xml:space="preserve">DAMAC Hills</t>
  </si>
  <si>
    <t xml:space="preserve">Trump Estates, Akoya. Golf course views. Good distress potential.</t>
  </si>
  <si>
    <t xml:space="preserve">DAMAC Hills 2</t>
  </si>
  <si>
    <t xml:space="preserve">Akoya Oxygen. 3BR launched ~800K-1M. Current 1.27-2.2M. Best under-2M hunting.</t>
  </si>
  <si>
    <t xml:space="preserve">Jumeirah Village Circle</t>
  </si>
  <si>
    <t xml:space="preserve">Various</t>
  </si>
  <si>
    <t xml:space="preserve">Townhouse</t>
  </si>
  <si>
    <t xml:space="preserve">Central location, high ROI 8-10%. Indigo Ville, Westar.</t>
  </si>
  <si>
    <t xml:space="preserve">Jumeirah Village Triangle</t>
  </si>
  <si>
    <t xml:space="preserve">Similar to JVC, slightly less supply.</t>
  </si>
  <si>
    <t xml:space="preserve">Villanova</t>
  </si>
  <si>
    <t xml:space="preserve">Dubai Properties</t>
  </si>
  <si>
    <t xml:space="preserve">Amaranta 3BR from AED 1.445M. La Quinta. Good distress hunting ground.</t>
  </si>
  <si>
    <t xml:space="preserve">Mudon</t>
  </si>
  <si>
    <t xml:space="preserve">Al Naseem, Arabella. Established community.</t>
  </si>
  <si>
    <t xml:space="preserve">Town Square</t>
  </si>
  <si>
    <t xml:space="preserve">Nshama</t>
  </si>
  <si>
    <t xml:space="preserve">Hayat, Zahra, Safi. Budget-friendly, below 2.5M likely.</t>
  </si>
  <si>
    <t xml:space="preserve">Serena</t>
  </si>
  <si>
    <t xml:space="preserve">Casa Viva, Bella Casa, Casa Dora. Family community.</t>
  </si>
  <si>
    <t xml:space="preserve">The Valley</t>
  </si>
  <si>
    <t xml:space="preserve">Orania, Elora. 2023 launch from AED 1.53M. Good resale potential.</t>
  </si>
  <si>
    <t xml:space="preserve">Motor City</t>
  </si>
  <si>
    <t xml:space="preserve">Union Properties</t>
  </si>
  <si>
    <t xml:space="preserve">Green Community, Uptown. Established.</t>
  </si>
  <si>
    <t xml:space="preserve">Dubai Sports City</t>
  </si>
  <si>
    <t xml:space="preserve">Victory Heights, Bloomingdale. Sports lifestyle.</t>
  </si>
  <si>
    <t xml:space="preserve">Al Furjan</t>
  </si>
  <si>
    <t xml:space="preserve">Nakheel</t>
  </si>
  <si>
    <t xml:space="preserve">Masakin, Quortaj. Near Metro/Expo.</t>
  </si>
  <si>
    <t xml:space="preserve">The Springs</t>
  </si>
  <si>
    <t xml:space="preserve">Springs 1-15. Legacy Emaar. Resale only, mostly above 3M.</t>
  </si>
  <si>
    <t xml:space="preserve">The Meadows</t>
  </si>
  <si>
    <t xml:space="preserve">Premium legacy. Above budget mostly.</t>
  </si>
  <si>
    <t xml:space="preserve">Reem (Mira)</t>
  </si>
  <si>
    <t xml:space="preserve">Mira, Mira Oasis. 3BR TH in range. Good family area.</t>
  </si>
  <si>
    <t xml:space="preserve">Arjan</t>
  </si>
  <si>
    <t xml:space="preserve">Miracle Garden adjacent. Newer developments.</t>
  </si>
  <si>
    <t xml:space="preserve">Al Barsha South</t>
  </si>
  <si>
    <t xml:space="preserve">Near Miracle Garden. Limited villa stock.</t>
  </si>
  <si>
    <t xml:space="preserve">Dubailand</t>
  </si>
  <si>
    <t xml:space="preserve">Villa/Townhouse</t>
  </si>
  <si>
    <t xml:space="preserve">Mixed developers. Falcon City, Living Legends.</t>
  </si>
  <si>
    <t xml:space="preserve">Layan</t>
  </si>
  <si>
    <t xml:space="preserve">Part of Dubailand. Residential clusters.</t>
  </si>
  <si>
    <t xml:space="preserve">Nad Al Sheba</t>
  </si>
  <si>
    <t xml:space="preserve">Near Meydan. New developments emerging.</t>
  </si>
  <si>
    <t xml:space="preserve">Victory Heights</t>
  </si>
  <si>
    <t xml:space="preserve">Sports City area. Mostly above 3M.</t>
  </si>
  <si>
    <t xml:space="preserve">Emirates Living</t>
  </si>
  <si>
    <t xml:space="preserve">Springs/Meadows/Lakes. Premium. Above budget.</t>
  </si>
  <si>
    <t xml:space="preserve">DEAL TRACKER — Log &amp; Score Properties</t>
  </si>
  <si>
    <t xml:space="preserve">Paste listings here. Formulas auto-calculate deal score, PSF, and launch comparison.</t>
  </si>
  <si>
    <t xml:space="preserve">Source</t>
  </si>
  <si>
    <t xml:space="preserve">Title / Address</t>
  </si>
  <si>
    <t xml:space="preserve">Asking Price (AED)</t>
  </si>
  <si>
    <t xml:space="preserve">Bedrooms</t>
  </si>
  <si>
    <t xml:space="preserve">Area (sqft)</t>
  </si>
  <si>
    <t xml:space="preserve">Price/sqft</t>
  </si>
  <si>
    <t xml:space="preserve">Launch Price (AED)</t>
  </si>
  <si>
    <t xml:space="preserve">% vs Launch</t>
  </si>
  <si>
    <t xml:space="preserve">Days on Market</t>
  </si>
  <si>
    <t xml:space="preserve">Closed Kitchen?</t>
  </si>
  <si>
    <t xml:space="preserve">Deal Score</t>
  </si>
  <si>
    <t xml:space="preserve">Notes / Action</t>
  </si>
  <si>
    <t xml:space="preserve">DISTRESS DEAL SCORING SYSTEM</t>
  </si>
  <si>
    <t xml:space="preserve">Score Range</t>
  </si>
  <si>
    <t xml:space="preserve">Classification</t>
  </si>
  <si>
    <t xml:space="preserve">What It Means</t>
  </si>
  <si>
    <t xml:space="preserve">Action</t>
  </si>
  <si>
    <t xml:space="preserve">90 – 100</t>
  </si>
  <si>
    <t xml:space="preserve">FIRE DEAL</t>
  </si>
  <si>
    <t xml:space="preserve">At or below original launch price. Extremely rare, likely panic seller.</t>
  </si>
  <si>
    <t xml:space="preserve">IMMEDIATE action. Call broker same day. Be ready with cash/cheque.</t>
  </si>
  <si>
    <t xml:space="preserve">80 – 89</t>
  </si>
  <si>
    <t xml:space="preserve">STRONG DISTRESS</t>
  </si>
  <si>
    <t xml:space="preserve">Within 5-10% of launch. Seller is motivated and pricing aggressively.</t>
  </si>
  <si>
    <t xml:space="preserve">High priority. Visit within 48hrs. Make offer 5-10% below asking.</t>
  </si>
  <si>
    <t xml:space="preserve">70 – 79</t>
  </si>
  <si>
    <t xml:space="preserve">GOOD DEAL</t>
  </si>
  <si>
    <t xml:space="preserve">Within 10-15% of launch. Below current market average.</t>
  </si>
  <si>
    <t xml:space="preserve">Worth pursuing. Schedule viewing. Room for negotiation.</t>
  </si>
  <si>
    <t xml:space="preserve">60 – 69</t>
  </si>
  <si>
    <t xml:space="preserve">FAIR DEAL</t>
  </si>
  <si>
    <t xml:space="preserve">15-20% above launch. Could negotiate down to good deal.</t>
  </si>
  <si>
    <t xml:space="preserve">Shortlist. Negotiate hard. Check comparable sold prices.</t>
  </si>
  <si>
    <t xml:space="preserve">50 – 59</t>
  </si>
  <si>
    <t xml:space="preserve">MARKET PRICE</t>
  </si>
  <si>
    <t xml:space="preserve">Near current market average. Not distress but not overpriced.</t>
  </si>
  <si>
    <t xml:space="preserve">Only if location/features are exceptional.</t>
  </si>
  <si>
    <t xml:space="preserve">Below 50</t>
  </si>
  <si>
    <t xml:space="preserve">OVERPRICED</t>
  </si>
  <si>
    <t xml:space="preserve">30%+ above launch. Seller hasn't adjusted to market conditions.</t>
  </si>
  <si>
    <t xml:space="preserve">Skip. Not a distress deal.</t>
  </si>
  <si>
    <t xml:space="preserve">BONUS SCORING FACTORS</t>
  </si>
  <si>
    <t xml:space="preserve">Factor</t>
  </si>
  <si>
    <t xml:space="preserve">Bonus Points</t>
  </si>
  <si>
    <t xml:space="preserve">How to Identify</t>
  </si>
  <si>
    <t xml:space="preserve">Closed Kitchen</t>
  </si>
  <si>
    <t xml:space="preserve">+10</t>
  </si>
  <si>
    <t xml:space="preserve">Check floor plan or listing description</t>
  </si>
  <si>
    <t xml:space="preserve">Urgent/Distress Keywords in Listing</t>
  </si>
  <si>
    <t xml:space="preserve">"Must sell", "urgent", "below market", "price drop", "motivated"</t>
  </si>
  <si>
    <t xml:space="preserve">Price per sqft &lt; 800 AED</t>
  </si>
  <si>
    <t xml:space="preserve">+15</t>
  </si>
  <si>
    <t xml:space="preserve">Calculate: Price / Area sqft</t>
  </si>
  <si>
    <t xml:space="preserve">4+ Bedrooms in Budget</t>
  </si>
  <si>
    <t xml:space="preserve">More bedrooms at same price = better value</t>
  </si>
  <si>
    <t xml:space="preserve">Lower Third of Budget (&lt; 2.33M)</t>
  </si>
  <si>
    <t xml:space="preserve">Closer to 2M = more room for appreciation</t>
  </si>
  <si>
    <t xml:space="preserve">60+ Days on Market</t>
  </si>
  <si>
    <t xml:space="preserve">Ask broker or check listing date</t>
  </si>
  <si>
    <t xml:space="preserve">Recent Price Reduction</t>
  </si>
  <si>
    <t xml:space="preserve">Check price history on Bayut/PF</t>
  </si>
  <si>
    <t xml:space="preserve">Off-Plan Assignment Below Original</t>
  </si>
  <si>
    <t xml:space="preserve">Buyer selling contract before handover at loss</t>
  </si>
  <si>
    <t xml:space="preserve">DISTRESS DEAL NEGOTIATION PLAYBOOK</t>
  </si>
  <si>
    <t xml:space="preserve">Phase</t>
  </si>
  <si>
    <t xml:space="preserve">Script / Action</t>
  </si>
  <si>
    <t xml:space="preserve">Tips</t>
  </si>
  <si>
    <t xml:space="preserve">1. First Contact</t>
  </si>
  <si>
    <t xml:space="preserve">"I'm a serious cash buyer looking at several options in [community]. What's the seller's situation — are they flexible on price?"</t>
  </si>
  <si>
    <t xml:space="preserve">Never show excitement. Always mention you have other options.</t>
  </si>
  <si>
    <t xml:space="preserve">2. Gauge Motivation</t>
  </si>
  <si>
    <t xml:space="preserve">"How long has it been listed? Has the seller received other offers? What's their timeline?"</t>
  </si>
  <si>
    <t xml:space="preserve">60+ days = motivated. No offers = leverage. Tight timeline = distress.</t>
  </si>
  <si>
    <t xml:space="preserve">3. Check History</t>
  </si>
  <si>
    <t xml:space="preserve">"What was the original purchase/launch price? Has the price been reduced already?"</t>
  </si>
  <si>
    <t xml:space="preserve">If already reduced 10%+, seller is serious. Push for another 5-10%.</t>
  </si>
  <si>
    <t xml:space="preserve">4. First Offer</t>
  </si>
  <si>
    <t xml:space="preserve">"Based on comparables and current market, I'd like to offer AED [15-20% below asking]"</t>
  </si>
  <si>
    <t xml:space="preserve">Always start 15-20% below asking. Leave room to negotiate up to your target.</t>
  </si>
  <si>
    <t xml:space="preserve">5. Justify Offer</t>
  </si>
  <si>
    <t xml:space="preserve">"Market uncertainty (Iran situation), similar units at X price, maintenance costs, service charges of Y/sqft"</t>
  </si>
  <si>
    <t xml:space="preserve">Use data: DLD transactions, comparable sales, service charge statements.</t>
  </si>
  <si>
    <t xml:space="preserve">6. Counter-Offer</t>
  </si>
  <si>
    <t xml:space="preserve">"I appreciate that. Let me discuss with my advisor. I can go up to [10% below asking] if we can close within 2 weeks."</t>
  </si>
  <si>
    <t xml:space="preserve">Speed of closing is your leverage. Cash buyer + fast close = seller's best option.</t>
  </si>
  <si>
    <t xml:space="preserve">7. Final Push</t>
  </si>
  <si>
    <t xml:space="preserve">"I have another property I'm seriously considering. If we can agree on [target price], I'll commit today with a cheque."</t>
  </si>
  <si>
    <t xml:space="preserve">Create urgency. Having alternatives is real leverage.</t>
  </si>
  <si>
    <t xml:space="preserve">8. Due Diligence</t>
  </si>
  <si>
    <t xml:space="preserve">"Before we proceed, I need: title deed copy, service charge statement, NOC from developer, mortgage clearance letter (if any)"</t>
  </si>
  <si>
    <t xml:space="preserve">Never skip DD. Check for any liens, developer fees, or pending charges.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</si>
</sst>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1B7A2E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4AC0D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2C5F8A"/>
        <bgColor rgb="FF2C3E50"/>
      </patternFill>
    </fill>
    <fill>
      <patternFill patternType="solid">
        <fgColor rgb="FFFFFFFF"/>
        <bgColor rgb="FFF2F3F4"/>
      </patternFill>
    </fill>
    <fill>
      <patternFill patternType="solid">
        <fgColor rgb="FFD5F5E3"/>
        <bgColor rgb="FFD6EAF8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F2F3F4"/>
      </patternFill>
    </fill>
    <fill>
      <patternFill patternType="solid">
        <fgColor rgb="FF27AE60"/>
        <bgColor rgb="FF2ECC71"/>
      </patternFill>
    </fill>
    <fill>
      <patternFill patternType="solid">
        <fgColor rgb="FF2ECC71"/>
        <bgColor rgb="FF27AE60"/>
      </patternFill>
    </fill>
    <fill>
      <patternFill patternType="solid">
        <fgColor rgb="FFE67E22"/>
        <bgColor rgb="FFFF8080"/>
      </patternFill>
    </fill>
    <fill>
      <patternFill patternType="solid">
        <fgColor rgb="FF8E44AD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2E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2ECC71"/>
      <rgbColor rgb="FF99CC00"/>
      <rgbColor rgb="FFFFCC00"/>
      <rgbColor rgb="FFD4AC0D"/>
      <rgbColor rgb="FFE67E22"/>
      <rgbColor rgb="FF2C5F8A"/>
      <rgbColor rgb="FF969696"/>
      <rgbColor rgb="FF1B2A4A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8" min="7" style="0" width="20"/>
    <col collapsed="false" customWidth="true" hidden="false" outlineLevel="0" max="9" min="9" style="0" width="12"/>
    <col collapsed="false" customWidth="true" hidden="false" outlineLevel="0" max="10" min="10" style="0" width="5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n">
        <v>1</v>
      </c>
      <c r="B5" s="5" t="s">
        <v>12</v>
      </c>
      <c r="C5" s="6" t="s">
        <v>13</v>
      </c>
      <c r="D5" s="6" t="s">
        <v>14</v>
      </c>
      <c r="E5" s="7" t="n">
        <v>1259000</v>
      </c>
      <c r="F5" s="7" t="n">
        <v>1800000</v>
      </c>
      <c r="G5" s="8" t="n">
        <v>3500000</v>
      </c>
      <c r="H5" s="9" t="n">
        <v>1605975</v>
      </c>
      <c r="I5" s="10" t="s">
        <v>15</v>
      </c>
      <c r="J5" s="6" t="s">
        <v>16</v>
      </c>
    </row>
    <row r="6" customFormat="false" ht="23.85" hidden="false" customHeight="false" outlineLevel="0" collapsed="false">
      <c r="A6" s="11" t="n">
        <v>2</v>
      </c>
      <c r="B6" s="12" t="s">
        <v>17</v>
      </c>
      <c r="C6" s="13" t="s">
        <v>18</v>
      </c>
      <c r="D6" s="13" t="s">
        <v>14</v>
      </c>
      <c r="E6" s="14" t="n">
        <v>1400000</v>
      </c>
      <c r="F6" s="14" t="n">
        <v>1700000</v>
      </c>
      <c r="G6" s="15" t="n">
        <v>2800000</v>
      </c>
      <c r="H6" s="16" t="n">
        <v>1627500</v>
      </c>
      <c r="I6" s="10" t="s">
        <v>15</v>
      </c>
      <c r="J6" s="13" t="s">
        <v>19</v>
      </c>
    </row>
    <row r="7" customFormat="false" ht="23.85" hidden="false" customHeight="false" outlineLevel="0" collapsed="false">
      <c r="A7" s="4" t="n">
        <v>3</v>
      </c>
      <c r="B7" s="5" t="s">
        <v>20</v>
      </c>
      <c r="C7" s="6" t="s">
        <v>18</v>
      </c>
      <c r="D7" s="6" t="s">
        <v>14</v>
      </c>
      <c r="E7" s="7" t="n">
        <v>2250000</v>
      </c>
      <c r="F7" s="7" t="n">
        <v>2750000</v>
      </c>
      <c r="G7" s="8" t="n">
        <v>2900000</v>
      </c>
      <c r="H7" s="9" t="n">
        <v>2625000</v>
      </c>
      <c r="I7" s="10" t="s">
        <v>15</v>
      </c>
      <c r="J7" s="6" t="s">
        <v>21</v>
      </c>
    </row>
    <row r="8" customFormat="false" ht="23.85" hidden="false" customHeight="false" outlineLevel="0" collapsed="false">
      <c r="A8" s="11" t="n">
        <v>4</v>
      </c>
      <c r="B8" s="12" t="s">
        <v>22</v>
      </c>
      <c r="C8" s="13" t="s">
        <v>23</v>
      </c>
      <c r="D8" s="13" t="s">
        <v>14</v>
      </c>
      <c r="E8" s="14" t="n">
        <v>2100000</v>
      </c>
      <c r="F8" s="14" t="n">
        <v>2600000</v>
      </c>
      <c r="G8" s="15" t="n">
        <v>3500000</v>
      </c>
      <c r="H8" s="16" t="n">
        <v>2467500</v>
      </c>
      <c r="I8" s="17" t="s">
        <v>24</v>
      </c>
      <c r="J8" s="13" t="s">
        <v>25</v>
      </c>
    </row>
    <row r="9" customFormat="false" ht="15" hidden="false" customHeight="false" outlineLevel="0" collapsed="false">
      <c r="A9" s="4" t="n">
        <v>5</v>
      </c>
      <c r="B9" s="5" t="s">
        <v>26</v>
      </c>
      <c r="C9" s="6" t="s">
        <v>23</v>
      </c>
      <c r="D9" s="6" t="s">
        <v>14</v>
      </c>
      <c r="E9" s="7" t="n">
        <v>2200000</v>
      </c>
      <c r="F9" s="7" t="n">
        <v>3200000</v>
      </c>
      <c r="G9" s="8" t="n">
        <v>3800000</v>
      </c>
      <c r="H9" s="9" t="n">
        <v>2835000</v>
      </c>
      <c r="I9" s="17" t="s">
        <v>24</v>
      </c>
      <c r="J9" s="6" t="s">
        <v>27</v>
      </c>
    </row>
    <row r="10" customFormat="false" ht="15" hidden="false" customHeight="false" outlineLevel="0" collapsed="false">
      <c r="A10" s="11" t="n">
        <v>6</v>
      </c>
      <c r="B10" s="12" t="s">
        <v>28</v>
      </c>
      <c r="C10" s="13" t="s">
        <v>23</v>
      </c>
      <c r="D10" s="13" t="s">
        <v>29</v>
      </c>
      <c r="E10" s="14" t="n">
        <v>2500000</v>
      </c>
      <c r="F10" s="14" t="n">
        <v>3500000</v>
      </c>
      <c r="G10" s="15" t="n">
        <v>4200000</v>
      </c>
      <c r="H10" s="16" t="n">
        <v>3150000</v>
      </c>
      <c r="I10" s="18" t="s">
        <v>30</v>
      </c>
      <c r="J10" s="13" t="s">
        <v>31</v>
      </c>
    </row>
    <row r="11" customFormat="false" ht="15" hidden="false" customHeight="false" outlineLevel="0" collapsed="false">
      <c r="A11" s="4" t="n">
        <v>7</v>
      </c>
      <c r="B11" s="5" t="s">
        <v>32</v>
      </c>
      <c r="C11" s="6" t="s">
        <v>23</v>
      </c>
      <c r="D11" s="6" t="s">
        <v>29</v>
      </c>
      <c r="E11" s="7" t="n">
        <v>2800000</v>
      </c>
      <c r="F11" s="7" t="n">
        <v>4000000</v>
      </c>
      <c r="G11" s="8" t="n">
        <v>5500000</v>
      </c>
      <c r="H11" s="9" t="n">
        <v>3570000</v>
      </c>
      <c r="I11" s="19" t="s">
        <v>33</v>
      </c>
      <c r="J11" s="6" t="s">
        <v>34</v>
      </c>
    </row>
    <row r="12" customFormat="false" ht="15" hidden="false" customHeight="false" outlineLevel="0" collapsed="false">
      <c r="A12" s="11" t="n">
        <v>8</v>
      </c>
      <c r="B12" s="12" t="s">
        <v>35</v>
      </c>
      <c r="C12" s="13" t="s">
        <v>18</v>
      </c>
      <c r="D12" s="13" t="s">
        <v>14</v>
      </c>
      <c r="E12" s="14" t="n">
        <v>1500000</v>
      </c>
      <c r="F12" s="14" t="n">
        <v>2200000</v>
      </c>
      <c r="G12" s="15" t="n">
        <v>3000000</v>
      </c>
      <c r="H12" s="16" t="n">
        <v>1942500</v>
      </c>
      <c r="I12" s="17" t="s">
        <v>24</v>
      </c>
      <c r="J12" s="13" t="s">
        <v>36</v>
      </c>
    </row>
    <row r="13" customFormat="false" ht="23.85" hidden="false" customHeight="false" outlineLevel="0" collapsed="false">
      <c r="A13" s="4" t="n">
        <v>9</v>
      </c>
      <c r="B13" s="5" t="s">
        <v>37</v>
      </c>
      <c r="C13" s="6" t="s">
        <v>18</v>
      </c>
      <c r="D13" s="6" t="s">
        <v>14</v>
      </c>
      <c r="E13" s="7" t="n">
        <v>800000</v>
      </c>
      <c r="F13" s="7" t="n">
        <v>1200000</v>
      </c>
      <c r="G13" s="8" t="n">
        <v>1900000</v>
      </c>
      <c r="H13" s="9" t="n">
        <v>1050000</v>
      </c>
      <c r="I13" s="17" t="s">
        <v>24</v>
      </c>
      <c r="J13" s="6" t="s">
        <v>38</v>
      </c>
    </row>
    <row r="14" customFormat="false" ht="15" hidden="false" customHeight="false" outlineLevel="0" collapsed="false">
      <c r="A14" s="11" t="n">
        <v>10</v>
      </c>
      <c r="B14" s="12" t="s">
        <v>39</v>
      </c>
      <c r="C14" s="13" t="s">
        <v>40</v>
      </c>
      <c r="D14" s="13" t="s">
        <v>41</v>
      </c>
      <c r="E14" s="14" t="n">
        <v>1500000</v>
      </c>
      <c r="F14" s="14" t="n">
        <v>2200000</v>
      </c>
      <c r="G14" s="15" t="n">
        <v>2800000</v>
      </c>
      <c r="H14" s="16" t="n">
        <v>1942500</v>
      </c>
      <c r="I14" s="17" t="s">
        <v>24</v>
      </c>
      <c r="J14" s="13" t="s">
        <v>42</v>
      </c>
    </row>
    <row r="15" customFormat="false" ht="23.85" hidden="false" customHeight="false" outlineLevel="0" collapsed="false">
      <c r="A15" s="4" t="n">
        <v>11</v>
      </c>
      <c r="B15" s="5" t="s">
        <v>43</v>
      </c>
      <c r="C15" s="6" t="s">
        <v>40</v>
      </c>
      <c r="D15" s="6" t="s">
        <v>41</v>
      </c>
      <c r="E15" s="7" t="n">
        <v>1600000</v>
      </c>
      <c r="F15" s="7" t="n">
        <v>2300000</v>
      </c>
      <c r="G15" s="8" t="n">
        <v>2900000</v>
      </c>
      <c r="H15" s="9" t="n">
        <v>2047500</v>
      </c>
      <c r="I15" s="20" t="s">
        <v>30</v>
      </c>
      <c r="J15" s="6" t="s">
        <v>44</v>
      </c>
    </row>
    <row r="16" customFormat="false" ht="23.85" hidden="false" customHeight="false" outlineLevel="0" collapsed="false">
      <c r="A16" s="11" t="n">
        <v>12</v>
      </c>
      <c r="B16" s="12" t="s">
        <v>45</v>
      </c>
      <c r="C16" s="13" t="s">
        <v>46</v>
      </c>
      <c r="D16" s="13" t="s">
        <v>14</v>
      </c>
      <c r="E16" s="14" t="n">
        <v>1445000</v>
      </c>
      <c r="F16" s="14" t="n">
        <v>2000000</v>
      </c>
      <c r="G16" s="15" t="n">
        <v>2700000</v>
      </c>
      <c r="H16" s="16" t="n">
        <v>1808625</v>
      </c>
      <c r="I16" s="17" t="s">
        <v>24</v>
      </c>
      <c r="J16" s="13" t="s">
        <v>47</v>
      </c>
    </row>
    <row r="17" customFormat="false" ht="15" hidden="false" customHeight="false" outlineLevel="0" collapsed="false">
      <c r="A17" s="4" t="n">
        <v>13</v>
      </c>
      <c r="B17" s="5" t="s">
        <v>48</v>
      </c>
      <c r="C17" s="6" t="s">
        <v>46</v>
      </c>
      <c r="D17" s="6" t="s">
        <v>14</v>
      </c>
      <c r="E17" s="7" t="n">
        <v>1800000</v>
      </c>
      <c r="F17" s="7" t="n">
        <v>2400000</v>
      </c>
      <c r="G17" s="8" t="n">
        <v>2900000</v>
      </c>
      <c r="H17" s="9" t="n">
        <v>2205000</v>
      </c>
      <c r="I17" s="17" t="s">
        <v>24</v>
      </c>
      <c r="J17" s="6" t="s">
        <v>49</v>
      </c>
    </row>
    <row r="18" customFormat="false" ht="15" hidden="false" customHeight="false" outlineLevel="0" collapsed="false">
      <c r="A18" s="11" t="n">
        <v>14</v>
      </c>
      <c r="B18" s="12" t="s">
        <v>50</v>
      </c>
      <c r="C18" s="13" t="s">
        <v>51</v>
      </c>
      <c r="D18" s="13" t="s">
        <v>41</v>
      </c>
      <c r="E18" s="14" t="n">
        <v>1300000</v>
      </c>
      <c r="F18" s="14" t="n">
        <v>1800000</v>
      </c>
      <c r="G18" s="15" t="n">
        <v>2200000</v>
      </c>
      <c r="H18" s="16" t="n">
        <v>1627500</v>
      </c>
      <c r="I18" s="18" t="s">
        <v>30</v>
      </c>
      <c r="J18" s="13" t="s">
        <v>52</v>
      </c>
    </row>
    <row r="19" customFormat="false" ht="15" hidden="false" customHeight="false" outlineLevel="0" collapsed="false">
      <c r="A19" s="4" t="n">
        <v>15</v>
      </c>
      <c r="B19" s="5" t="s">
        <v>53</v>
      </c>
      <c r="C19" s="6" t="s">
        <v>46</v>
      </c>
      <c r="D19" s="6" t="s">
        <v>41</v>
      </c>
      <c r="E19" s="7" t="n">
        <v>1400000</v>
      </c>
      <c r="F19" s="7" t="n">
        <v>1900000</v>
      </c>
      <c r="G19" s="8" t="n">
        <v>2300000</v>
      </c>
      <c r="H19" s="9" t="n">
        <v>1732500</v>
      </c>
      <c r="I19" s="20" t="s">
        <v>30</v>
      </c>
      <c r="J19" s="6" t="s">
        <v>54</v>
      </c>
    </row>
    <row r="20" customFormat="false" ht="15" hidden="false" customHeight="false" outlineLevel="0" collapsed="false">
      <c r="A20" s="11" t="n">
        <v>16</v>
      </c>
      <c r="B20" s="12" t="s">
        <v>55</v>
      </c>
      <c r="C20" s="13" t="s">
        <v>23</v>
      </c>
      <c r="D20" s="13" t="s">
        <v>14</v>
      </c>
      <c r="E20" s="14" t="n">
        <v>1530000</v>
      </c>
      <c r="F20" s="14" t="n">
        <v>2100000</v>
      </c>
      <c r="G20" s="15" t="n">
        <v>2500000</v>
      </c>
      <c r="H20" s="16" t="n">
        <v>1905750</v>
      </c>
      <c r="I20" s="17" t="s">
        <v>24</v>
      </c>
      <c r="J20" s="13" t="s">
        <v>56</v>
      </c>
    </row>
    <row r="21" customFormat="false" ht="15" hidden="false" customHeight="false" outlineLevel="0" collapsed="false">
      <c r="A21" s="4" t="n">
        <v>17</v>
      </c>
      <c r="B21" s="5" t="s">
        <v>57</v>
      </c>
      <c r="C21" s="6" t="s">
        <v>58</v>
      </c>
      <c r="D21" s="6" t="s">
        <v>29</v>
      </c>
      <c r="E21" s="7" t="n">
        <v>2200000</v>
      </c>
      <c r="F21" s="7" t="n">
        <v>3000000</v>
      </c>
      <c r="G21" s="8" t="n">
        <v>3500000</v>
      </c>
      <c r="H21" s="9" t="n">
        <v>2730000</v>
      </c>
      <c r="I21" s="20" t="s">
        <v>30</v>
      </c>
      <c r="J21" s="6" t="s">
        <v>59</v>
      </c>
    </row>
    <row r="22" customFormat="false" ht="15" hidden="false" customHeight="false" outlineLevel="0" collapsed="false">
      <c r="A22" s="11" t="n">
        <v>18</v>
      </c>
      <c r="B22" s="12" t="s">
        <v>60</v>
      </c>
      <c r="C22" s="13" t="s">
        <v>40</v>
      </c>
      <c r="D22" s="13" t="s">
        <v>29</v>
      </c>
      <c r="E22" s="14" t="n">
        <v>1800000</v>
      </c>
      <c r="F22" s="14" t="n">
        <v>2500000</v>
      </c>
      <c r="G22" s="15" t="n">
        <v>3000000</v>
      </c>
      <c r="H22" s="16" t="n">
        <v>2257500</v>
      </c>
      <c r="I22" s="18" t="s">
        <v>30</v>
      </c>
      <c r="J22" s="13" t="s">
        <v>61</v>
      </c>
    </row>
    <row r="23" customFormat="false" ht="15" hidden="false" customHeight="false" outlineLevel="0" collapsed="false">
      <c r="A23" s="4" t="n">
        <v>19</v>
      </c>
      <c r="B23" s="5" t="s">
        <v>62</v>
      </c>
      <c r="C23" s="6" t="s">
        <v>63</v>
      </c>
      <c r="D23" s="6" t="s">
        <v>14</v>
      </c>
      <c r="E23" s="7" t="n">
        <v>2000000</v>
      </c>
      <c r="F23" s="7" t="n">
        <v>2800000</v>
      </c>
      <c r="G23" s="8" t="n">
        <v>3200000</v>
      </c>
      <c r="H23" s="9" t="n">
        <v>2520000</v>
      </c>
      <c r="I23" s="20" t="s">
        <v>30</v>
      </c>
      <c r="J23" s="6" t="s">
        <v>64</v>
      </c>
    </row>
    <row r="24" customFormat="false" ht="15" hidden="false" customHeight="false" outlineLevel="0" collapsed="false">
      <c r="A24" s="11" t="n">
        <v>20</v>
      </c>
      <c r="B24" s="12" t="s">
        <v>65</v>
      </c>
      <c r="C24" s="13" t="s">
        <v>23</v>
      </c>
      <c r="D24" s="13" t="s">
        <v>29</v>
      </c>
      <c r="E24" s="14" t="n">
        <v>2200000</v>
      </c>
      <c r="F24" s="14" t="n">
        <v>3000000</v>
      </c>
      <c r="G24" s="15" t="n">
        <v>3800000</v>
      </c>
      <c r="H24" s="16" t="n">
        <v>2730000</v>
      </c>
      <c r="I24" s="18" t="s">
        <v>30</v>
      </c>
      <c r="J24" s="13" t="s">
        <v>66</v>
      </c>
    </row>
    <row r="25" customFormat="false" ht="15" hidden="false" customHeight="false" outlineLevel="0" collapsed="false">
      <c r="A25" s="4" t="n">
        <v>21</v>
      </c>
      <c r="B25" s="5" t="s">
        <v>67</v>
      </c>
      <c r="C25" s="6" t="s">
        <v>23</v>
      </c>
      <c r="D25" s="6" t="s">
        <v>29</v>
      </c>
      <c r="E25" s="7" t="n">
        <v>2800000</v>
      </c>
      <c r="F25" s="7" t="n">
        <v>3500000</v>
      </c>
      <c r="G25" s="8" t="n">
        <v>4500000</v>
      </c>
      <c r="H25" s="9" t="n">
        <v>3307500</v>
      </c>
      <c r="I25" s="19" t="s">
        <v>33</v>
      </c>
      <c r="J25" s="6" t="s">
        <v>68</v>
      </c>
    </row>
    <row r="26" customFormat="false" ht="15" hidden="false" customHeight="false" outlineLevel="0" collapsed="false">
      <c r="A26" s="11" t="n">
        <v>22</v>
      </c>
      <c r="B26" s="12" t="s">
        <v>69</v>
      </c>
      <c r="C26" s="13" t="s">
        <v>23</v>
      </c>
      <c r="D26" s="13" t="s">
        <v>41</v>
      </c>
      <c r="E26" s="14" t="n">
        <v>1600000</v>
      </c>
      <c r="F26" s="14" t="n">
        <v>2200000</v>
      </c>
      <c r="G26" s="15" t="n">
        <v>2700000</v>
      </c>
      <c r="H26" s="16" t="n">
        <v>1995000</v>
      </c>
      <c r="I26" s="17" t="s">
        <v>24</v>
      </c>
      <c r="J26" s="13" t="s">
        <v>70</v>
      </c>
    </row>
    <row r="27" customFormat="false" ht="15" hidden="false" customHeight="false" outlineLevel="0" collapsed="false">
      <c r="A27" s="4" t="n">
        <v>23</v>
      </c>
      <c r="B27" s="5" t="s">
        <v>71</v>
      </c>
      <c r="C27" s="6" t="s">
        <v>40</v>
      </c>
      <c r="D27" s="6" t="s">
        <v>41</v>
      </c>
      <c r="E27" s="7" t="n">
        <v>1400000</v>
      </c>
      <c r="F27" s="7" t="n">
        <v>2000000</v>
      </c>
      <c r="G27" s="8" t="n">
        <v>2400000</v>
      </c>
      <c r="H27" s="9" t="n">
        <v>1785000</v>
      </c>
      <c r="I27" s="20" t="s">
        <v>30</v>
      </c>
      <c r="J27" s="6" t="s">
        <v>72</v>
      </c>
    </row>
    <row r="28" customFormat="false" ht="15" hidden="false" customHeight="false" outlineLevel="0" collapsed="false">
      <c r="A28" s="11" t="n">
        <v>24</v>
      </c>
      <c r="B28" s="12" t="s">
        <v>73</v>
      </c>
      <c r="C28" s="13" t="s">
        <v>40</v>
      </c>
      <c r="D28" s="13" t="s">
        <v>29</v>
      </c>
      <c r="E28" s="14" t="n">
        <v>2500000</v>
      </c>
      <c r="F28" s="14" t="n">
        <v>3200000</v>
      </c>
      <c r="G28" s="15" t="n">
        <v>3800000</v>
      </c>
      <c r="H28" s="16" t="n">
        <v>2992500</v>
      </c>
      <c r="I28" s="19" t="s">
        <v>33</v>
      </c>
      <c r="J28" s="13" t="s">
        <v>74</v>
      </c>
    </row>
    <row r="29" customFormat="false" ht="15" hidden="false" customHeight="false" outlineLevel="0" collapsed="false">
      <c r="A29" s="4" t="n">
        <v>25</v>
      </c>
      <c r="B29" s="5" t="s">
        <v>75</v>
      </c>
      <c r="C29" s="6" t="s">
        <v>40</v>
      </c>
      <c r="D29" s="6" t="s">
        <v>76</v>
      </c>
      <c r="E29" s="7" t="n">
        <v>1500000</v>
      </c>
      <c r="F29" s="7" t="n">
        <v>2000000</v>
      </c>
      <c r="G29" s="8" t="n">
        <v>2600000</v>
      </c>
      <c r="H29" s="9" t="n">
        <v>1837500</v>
      </c>
      <c r="I29" s="20" t="s">
        <v>30</v>
      </c>
      <c r="J29" s="6" t="s">
        <v>77</v>
      </c>
    </row>
    <row r="30" customFormat="false" ht="15" hidden="false" customHeight="false" outlineLevel="0" collapsed="false">
      <c r="A30" s="11" t="n">
        <v>26</v>
      </c>
      <c r="B30" s="12" t="s">
        <v>78</v>
      </c>
      <c r="C30" s="13" t="s">
        <v>40</v>
      </c>
      <c r="D30" s="13" t="s">
        <v>41</v>
      </c>
      <c r="E30" s="14" t="n">
        <v>1800000</v>
      </c>
      <c r="F30" s="14" t="n">
        <v>2500000</v>
      </c>
      <c r="G30" s="15" t="n">
        <v>3000000</v>
      </c>
      <c r="H30" s="16" t="n">
        <v>2257500</v>
      </c>
      <c r="I30" s="18" t="s">
        <v>30</v>
      </c>
      <c r="J30" s="13" t="s">
        <v>79</v>
      </c>
    </row>
    <row r="31" customFormat="false" ht="15" hidden="false" customHeight="false" outlineLevel="0" collapsed="false">
      <c r="A31" s="4" t="n">
        <v>27</v>
      </c>
      <c r="B31" s="5" t="s">
        <v>80</v>
      </c>
      <c r="C31" s="6" t="s">
        <v>40</v>
      </c>
      <c r="D31" s="6" t="s">
        <v>29</v>
      </c>
      <c r="E31" s="7" t="n">
        <v>2000000</v>
      </c>
      <c r="F31" s="7" t="n">
        <v>2800000</v>
      </c>
      <c r="G31" s="8" t="n">
        <v>3300000</v>
      </c>
      <c r="H31" s="9" t="n">
        <v>2520000</v>
      </c>
      <c r="I31" s="20" t="s">
        <v>30</v>
      </c>
      <c r="J31" s="6" t="s">
        <v>81</v>
      </c>
    </row>
    <row r="32" customFormat="false" ht="15" hidden="false" customHeight="false" outlineLevel="0" collapsed="false">
      <c r="A32" s="11" t="n">
        <v>28</v>
      </c>
      <c r="B32" s="12" t="s">
        <v>82</v>
      </c>
      <c r="C32" s="13" t="s">
        <v>40</v>
      </c>
      <c r="D32" s="13" t="s">
        <v>29</v>
      </c>
      <c r="E32" s="14" t="n">
        <v>2500000</v>
      </c>
      <c r="F32" s="14" t="n">
        <v>3200000</v>
      </c>
      <c r="G32" s="15" t="n">
        <v>3800000</v>
      </c>
      <c r="H32" s="16" t="n">
        <v>2992500</v>
      </c>
      <c r="I32" s="19" t="s">
        <v>33</v>
      </c>
      <c r="J32" s="13" t="s">
        <v>83</v>
      </c>
    </row>
    <row r="33" customFormat="false" ht="15" hidden="false" customHeight="false" outlineLevel="0" collapsed="false">
      <c r="A33" s="4" t="n">
        <v>29</v>
      </c>
      <c r="B33" s="5" t="s">
        <v>84</v>
      </c>
      <c r="C33" s="6" t="s">
        <v>23</v>
      </c>
      <c r="D33" s="6" t="s">
        <v>29</v>
      </c>
      <c r="E33" s="7" t="n">
        <v>2500000</v>
      </c>
      <c r="F33" s="7" t="n">
        <v>3500000</v>
      </c>
      <c r="G33" s="8" t="n">
        <v>4200000</v>
      </c>
      <c r="H33" s="9" t="n">
        <v>3150000</v>
      </c>
      <c r="I33" s="19" t="s">
        <v>33</v>
      </c>
      <c r="J33" s="6" t="s">
        <v>85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4" min="14" style="0" width="35"/>
  </cols>
  <sheetData>
    <row r="1" customFormat="false" ht="39.75" hidden="false" customHeight="true" outlineLevel="0" collapsed="false">
      <c r="A1" s="21" t="s">
        <v>86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15" hidden="false" customHeight="true" outlineLevel="0" collapsed="false">
      <c r="A2" s="22" t="s">
        <v>87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customFormat="false" ht="26.85" hidden="false" customHeight="false" outlineLevel="0" collapsed="false">
      <c r="A4" s="23" t="s">
        <v>2</v>
      </c>
      <c r="B4" s="23" t="s">
        <v>88</v>
      </c>
      <c r="C4" s="23" t="s">
        <v>3</v>
      </c>
      <c r="D4" s="23" t="s">
        <v>89</v>
      </c>
      <c r="E4" s="23" t="s">
        <v>90</v>
      </c>
      <c r="F4" s="23" t="s">
        <v>91</v>
      </c>
      <c r="G4" s="23" t="s">
        <v>92</v>
      </c>
      <c r="H4" s="23" t="s">
        <v>93</v>
      </c>
      <c r="I4" s="23" t="s">
        <v>94</v>
      </c>
      <c r="J4" s="23" t="s">
        <v>95</v>
      </c>
      <c r="K4" s="23" t="s">
        <v>96</v>
      </c>
      <c r="L4" s="23" t="s">
        <v>97</v>
      </c>
      <c r="M4" s="23" t="s">
        <v>98</v>
      </c>
      <c r="N4" s="23" t="s">
        <v>99</v>
      </c>
    </row>
    <row r="5" customFormat="false" ht="15" hidden="false" customHeight="false" outlineLevel="0" collapsed="false">
      <c r="A5" s="24" t="n">
        <v>1</v>
      </c>
      <c r="B5" s="25"/>
      <c r="C5" s="25"/>
      <c r="D5" s="25"/>
      <c r="E5" s="26"/>
      <c r="F5" s="25"/>
      <c r="G5" s="25"/>
      <c r="H5" s="26" t="str">
        <f aca="false">IF(AND(E5&lt;&gt;"",G5&lt;&gt;""),E5/G5,"")</f>
        <v/>
      </c>
      <c r="I5" s="26"/>
      <c r="J5" s="27" t="str">
        <f aca="false">IF(AND(E5&lt;&gt;"",I5&lt;&gt;""),((E5-I5)/I5),"")</f>
        <v/>
      </c>
      <c r="K5" s="25"/>
      <c r="L5" s="25"/>
      <c r="M5" s="25" t="str">
        <f aca="false">IF(E5="","",IF(J5&lt;="",50,IF(J5&lt;=0,100,IF(J5&lt;=0.05,90,IF(J5&lt;=0.1,80,IF(J5&lt;=0.15,70,IF(J5&lt;=0.2,60,IF(J5&lt;=0.3,50,30))))))))</f>
        <v/>
      </c>
      <c r="N5" s="25"/>
    </row>
    <row r="6" customFormat="false" ht="15" hidden="false" customHeight="false" outlineLevel="0" collapsed="false">
      <c r="A6" s="24" t="n">
        <v>2</v>
      </c>
      <c r="B6" s="25"/>
      <c r="C6" s="25"/>
      <c r="D6" s="25"/>
      <c r="E6" s="26"/>
      <c r="F6" s="25"/>
      <c r="G6" s="25"/>
      <c r="H6" s="26" t="str">
        <f aca="false">IF(AND(E6&lt;&gt;"",G6&lt;&gt;""),E6/G6,"")</f>
        <v/>
      </c>
      <c r="I6" s="26"/>
      <c r="J6" s="27" t="str">
        <f aca="false">IF(AND(E6&lt;&gt;"",I6&lt;&gt;""),((E6-I6)/I6),"")</f>
        <v/>
      </c>
      <c r="K6" s="25"/>
      <c r="L6" s="25"/>
      <c r="M6" s="25" t="str">
        <f aca="false">IF(E6="","",IF(J6&lt;="",50,IF(J6&lt;=0,100,IF(J6&lt;=0.05,90,IF(J6&lt;=0.1,80,IF(J6&lt;=0.15,70,IF(J6&lt;=0.2,60,IF(J6&lt;=0.3,50,30))))))))</f>
        <v/>
      </c>
      <c r="N6" s="25"/>
    </row>
    <row r="7" customFormat="false" ht="15" hidden="false" customHeight="false" outlineLevel="0" collapsed="false">
      <c r="A7" s="24" t="n">
        <v>3</v>
      </c>
      <c r="B7" s="25"/>
      <c r="C7" s="25"/>
      <c r="D7" s="25"/>
      <c r="E7" s="26"/>
      <c r="F7" s="25"/>
      <c r="G7" s="25"/>
      <c r="H7" s="26" t="str">
        <f aca="false">IF(AND(E7&lt;&gt;"",G7&lt;&gt;""),E7/G7,"")</f>
        <v/>
      </c>
      <c r="I7" s="26"/>
      <c r="J7" s="27" t="str">
        <f aca="false">IF(AND(E7&lt;&gt;"",I7&lt;&gt;""),((E7-I7)/I7),"")</f>
        <v/>
      </c>
      <c r="K7" s="25"/>
      <c r="L7" s="25"/>
      <c r="M7" s="25" t="str">
        <f aca="false">IF(E7="","",IF(J7&lt;="",50,IF(J7&lt;=0,100,IF(J7&lt;=0.05,90,IF(J7&lt;=0.1,80,IF(J7&lt;=0.15,70,IF(J7&lt;=0.2,60,IF(J7&lt;=0.3,50,30))))))))</f>
        <v/>
      </c>
      <c r="N7" s="25"/>
    </row>
    <row r="8" customFormat="false" ht="15" hidden="false" customHeight="false" outlineLevel="0" collapsed="false">
      <c r="A8" s="24" t="n">
        <v>4</v>
      </c>
      <c r="B8" s="25"/>
      <c r="C8" s="25"/>
      <c r="D8" s="25"/>
      <c r="E8" s="26"/>
      <c r="F8" s="25"/>
      <c r="G8" s="25"/>
      <c r="H8" s="26" t="str">
        <f aca="false">IF(AND(E8&lt;&gt;"",G8&lt;&gt;""),E8/G8,"")</f>
        <v/>
      </c>
      <c r="I8" s="26"/>
      <c r="J8" s="27" t="str">
        <f aca="false">IF(AND(E8&lt;&gt;"",I8&lt;&gt;""),((E8-I8)/I8),"")</f>
        <v/>
      </c>
      <c r="K8" s="25"/>
      <c r="L8" s="25"/>
      <c r="M8" s="25" t="str">
        <f aca="false">IF(E8="","",IF(J8&lt;="",50,IF(J8&lt;=0,100,IF(J8&lt;=0.05,90,IF(J8&lt;=0.1,80,IF(J8&lt;=0.15,70,IF(J8&lt;=0.2,60,IF(J8&lt;=0.3,50,30))))))))</f>
        <v/>
      </c>
      <c r="N8" s="25"/>
    </row>
    <row r="9" customFormat="false" ht="15" hidden="false" customHeight="false" outlineLevel="0" collapsed="false">
      <c r="A9" s="24" t="n">
        <v>5</v>
      </c>
      <c r="B9" s="25"/>
      <c r="C9" s="25"/>
      <c r="D9" s="25"/>
      <c r="E9" s="26"/>
      <c r="F9" s="25"/>
      <c r="G9" s="25"/>
      <c r="H9" s="26" t="str">
        <f aca="false">IF(AND(E9&lt;&gt;"",G9&lt;&gt;""),E9/G9,"")</f>
        <v/>
      </c>
      <c r="I9" s="26"/>
      <c r="J9" s="27" t="str">
        <f aca="false">IF(AND(E9&lt;&gt;"",I9&lt;&gt;""),((E9-I9)/I9),"")</f>
        <v/>
      </c>
      <c r="K9" s="25"/>
      <c r="L9" s="25"/>
      <c r="M9" s="25" t="str">
        <f aca="false">IF(E9="","",IF(J9&lt;="",50,IF(J9&lt;=0,100,IF(J9&lt;=0.05,90,IF(J9&lt;=0.1,80,IF(J9&lt;=0.15,70,IF(J9&lt;=0.2,60,IF(J9&lt;=0.3,50,30))))))))</f>
        <v/>
      </c>
      <c r="N9" s="25"/>
    </row>
    <row r="10" customFormat="false" ht="15" hidden="false" customHeight="false" outlineLevel="0" collapsed="false">
      <c r="A10" s="24" t="n">
        <v>6</v>
      </c>
      <c r="B10" s="25"/>
      <c r="C10" s="25"/>
      <c r="D10" s="25"/>
      <c r="E10" s="26"/>
      <c r="F10" s="25"/>
      <c r="G10" s="25"/>
      <c r="H10" s="26" t="str">
        <f aca="false">IF(AND(E10&lt;&gt;"",G10&lt;&gt;""),E10/G10,"")</f>
        <v/>
      </c>
      <c r="I10" s="26"/>
      <c r="J10" s="27" t="str">
        <f aca="false">IF(AND(E10&lt;&gt;"",I10&lt;&gt;""),((E10-I10)/I10),"")</f>
        <v/>
      </c>
      <c r="K10" s="25"/>
      <c r="L10" s="25"/>
      <c r="M10" s="25" t="str">
        <f aca="false">IF(E10="","",IF(J10&lt;="",50,IF(J10&lt;=0,100,IF(J10&lt;=0.05,90,IF(J10&lt;=0.1,80,IF(J10&lt;=0.15,70,IF(J10&lt;=0.2,60,IF(J10&lt;=0.3,50,30))))))))</f>
        <v/>
      </c>
      <c r="N10" s="25"/>
    </row>
    <row r="11" customFormat="false" ht="15" hidden="false" customHeight="false" outlineLevel="0" collapsed="false">
      <c r="A11" s="24" t="n">
        <v>7</v>
      </c>
      <c r="B11" s="25"/>
      <c r="C11" s="25"/>
      <c r="D11" s="25"/>
      <c r="E11" s="26"/>
      <c r="F11" s="25"/>
      <c r="G11" s="25"/>
      <c r="H11" s="26" t="str">
        <f aca="false">IF(AND(E11&lt;&gt;"",G11&lt;&gt;""),E11/G11,"")</f>
        <v/>
      </c>
      <c r="I11" s="26"/>
      <c r="J11" s="27" t="str">
        <f aca="false">IF(AND(E11&lt;&gt;"",I11&lt;&gt;""),((E11-I11)/I11),"")</f>
        <v/>
      </c>
      <c r="K11" s="25"/>
      <c r="L11" s="25"/>
      <c r="M11" s="25" t="str">
        <f aca="false">IF(E11="","",IF(J11&lt;="",50,IF(J11&lt;=0,100,IF(J11&lt;=0.05,90,IF(J11&lt;=0.1,80,IF(J11&lt;=0.15,70,IF(J11&lt;=0.2,60,IF(J11&lt;=0.3,50,30))))))))</f>
        <v/>
      </c>
      <c r="N11" s="25"/>
    </row>
    <row r="12" customFormat="false" ht="15" hidden="false" customHeight="false" outlineLevel="0" collapsed="false">
      <c r="A12" s="24" t="n">
        <v>8</v>
      </c>
      <c r="B12" s="25"/>
      <c r="C12" s="25"/>
      <c r="D12" s="25"/>
      <c r="E12" s="26"/>
      <c r="F12" s="25"/>
      <c r="G12" s="25"/>
      <c r="H12" s="26" t="str">
        <f aca="false">IF(AND(E12&lt;&gt;"",G12&lt;&gt;""),E12/G12,"")</f>
        <v/>
      </c>
      <c r="I12" s="26"/>
      <c r="J12" s="27" t="str">
        <f aca="false">IF(AND(E12&lt;&gt;"",I12&lt;&gt;""),((E12-I12)/I12),"")</f>
        <v/>
      </c>
      <c r="K12" s="25"/>
      <c r="L12" s="25"/>
      <c r="M12" s="25" t="str">
        <f aca="false">IF(E12="","",IF(J12&lt;="",50,IF(J12&lt;=0,100,IF(J12&lt;=0.05,90,IF(J12&lt;=0.1,80,IF(J12&lt;=0.15,70,IF(J12&lt;=0.2,60,IF(J12&lt;=0.3,50,30))))))))</f>
        <v/>
      </c>
      <c r="N12" s="25"/>
    </row>
    <row r="13" customFormat="false" ht="15" hidden="false" customHeight="false" outlineLevel="0" collapsed="false">
      <c r="A13" s="24" t="n">
        <v>9</v>
      </c>
      <c r="B13" s="25"/>
      <c r="C13" s="25"/>
      <c r="D13" s="25"/>
      <c r="E13" s="26"/>
      <c r="F13" s="25"/>
      <c r="G13" s="25"/>
      <c r="H13" s="26" t="str">
        <f aca="false">IF(AND(E13&lt;&gt;"",G13&lt;&gt;""),E13/G13,"")</f>
        <v/>
      </c>
      <c r="I13" s="26"/>
      <c r="J13" s="27" t="str">
        <f aca="false">IF(AND(E13&lt;&gt;"",I13&lt;&gt;""),((E13-I13)/I13),"")</f>
        <v/>
      </c>
      <c r="K13" s="25"/>
      <c r="L13" s="25"/>
      <c r="M13" s="25" t="str">
        <f aca="false">IF(E13="","",IF(J13&lt;="",50,IF(J13&lt;=0,100,IF(J13&lt;=0.05,90,IF(J13&lt;=0.1,80,IF(J13&lt;=0.15,70,IF(J13&lt;=0.2,60,IF(J13&lt;=0.3,50,30))))))))</f>
        <v/>
      </c>
      <c r="N13" s="25"/>
    </row>
    <row r="14" customFormat="false" ht="15" hidden="false" customHeight="false" outlineLevel="0" collapsed="false">
      <c r="A14" s="24" t="n">
        <v>10</v>
      </c>
      <c r="B14" s="25"/>
      <c r="C14" s="25"/>
      <c r="D14" s="25"/>
      <c r="E14" s="26"/>
      <c r="F14" s="25"/>
      <c r="G14" s="25"/>
      <c r="H14" s="26" t="str">
        <f aca="false">IF(AND(E14&lt;&gt;"",G14&lt;&gt;""),E14/G14,"")</f>
        <v/>
      </c>
      <c r="I14" s="26"/>
      <c r="J14" s="27" t="str">
        <f aca="false">IF(AND(E14&lt;&gt;"",I14&lt;&gt;""),((E14-I14)/I14),"")</f>
        <v/>
      </c>
      <c r="K14" s="25"/>
      <c r="L14" s="25"/>
      <c r="M14" s="25" t="str">
        <f aca="false">IF(E14="","",IF(J14&lt;="",50,IF(J14&lt;=0,100,IF(J14&lt;=0.05,90,IF(J14&lt;=0.1,80,IF(J14&lt;=0.15,70,IF(J14&lt;=0.2,60,IF(J14&lt;=0.3,50,30))))))))</f>
        <v/>
      </c>
      <c r="N14" s="25"/>
    </row>
    <row r="15" customFormat="false" ht="15" hidden="false" customHeight="false" outlineLevel="0" collapsed="false">
      <c r="A15" s="24" t="n">
        <v>11</v>
      </c>
      <c r="B15" s="25"/>
      <c r="C15" s="25"/>
      <c r="D15" s="25"/>
      <c r="E15" s="26"/>
      <c r="F15" s="25"/>
      <c r="G15" s="25"/>
      <c r="H15" s="26" t="str">
        <f aca="false">IF(AND(E15&lt;&gt;"",G15&lt;&gt;""),E15/G15,"")</f>
        <v/>
      </c>
      <c r="I15" s="26"/>
      <c r="J15" s="27" t="str">
        <f aca="false">IF(AND(E15&lt;&gt;"",I15&lt;&gt;""),((E15-I15)/I15),"")</f>
        <v/>
      </c>
      <c r="K15" s="25"/>
      <c r="L15" s="25"/>
      <c r="M15" s="25" t="str">
        <f aca="false">IF(E15="","",IF(J15&lt;="",50,IF(J15&lt;=0,100,IF(J15&lt;=0.05,90,IF(J15&lt;=0.1,80,IF(J15&lt;=0.15,70,IF(J15&lt;=0.2,60,IF(J15&lt;=0.3,50,30))))))))</f>
        <v/>
      </c>
      <c r="N15" s="25"/>
    </row>
    <row r="16" customFormat="false" ht="15" hidden="false" customHeight="false" outlineLevel="0" collapsed="false">
      <c r="A16" s="24" t="n">
        <v>12</v>
      </c>
      <c r="B16" s="25"/>
      <c r="C16" s="25"/>
      <c r="D16" s="25"/>
      <c r="E16" s="26"/>
      <c r="F16" s="25"/>
      <c r="G16" s="25"/>
      <c r="H16" s="26" t="str">
        <f aca="false">IF(AND(E16&lt;&gt;"",G16&lt;&gt;""),E16/G16,"")</f>
        <v/>
      </c>
      <c r="I16" s="26"/>
      <c r="J16" s="27" t="str">
        <f aca="false">IF(AND(E16&lt;&gt;"",I16&lt;&gt;""),((E16-I16)/I16),"")</f>
        <v/>
      </c>
      <c r="K16" s="25"/>
      <c r="L16" s="25"/>
      <c r="M16" s="25" t="str">
        <f aca="false">IF(E16="","",IF(J16&lt;="",50,IF(J16&lt;=0,100,IF(J16&lt;=0.05,90,IF(J16&lt;=0.1,80,IF(J16&lt;=0.15,70,IF(J16&lt;=0.2,60,IF(J16&lt;=0.3,50,30))))))))</f>
        <v/>
      </c>
      <c r="N16" s="25"/>
    </row>
    <row r="17" customFormat="false" ht="15" hidden="false" customHeight="false" outlineLevel="0" collapsed="false">
      <c r="A17" s="24" t="n">
        <v>13</v>
      </c>
      <c r="B17" s="25"/>
      <c r="C17" s="25"/>
      <c r="D17" s="25"/>
      <c r="E17" s="26"/>
      <c r="F17" s="25"/>
      <c r="G17" s="25"/>
      <c r="H17" s="26" t="str">
        <f aca="false">IF(AND(E17&lt;&gt;"",G17&lt;&gt;""),E17/G17,"")</f>
        <v/>
      </c>
      <c r="I17" s="26"/>
      <c r="J17" s="27" t="str">
        <f aca="false">IF(AND(E17&lt;&gt;"",I17&lt;&gt;""),((E17-I17)/I17),"")</f>
        <v/>
      </c>
      <c r="K17" s="25"/>
      <c r="L17" s="25"/>
      <c r="M17" s="25" t="str">
        <f aca="false">IF(E17="","",IF(J17&lt;="",50,IF(J17&lt;=0,100,IF(J17&lt;=0.05,90,IF(J17&lt;=0.1,80,IF(J17&lt;=0.15,70,IF(J17&lt;=0.2,60,IF(J17&lt;=0.3,50,30))))))))</f>
        <v/>
      </c>
      <c r="N17" s="25"/>
    </row>
    <row r="18" customFormat="false" ht="15" hidden="false" customHeight="false" outlineLevel="0" collapsed="false">
      <c r="A18" s="24" t="n">
        <v>14</v>
      </c>
      <c r="B18" s="25"/>
      <c r="C18" s="25"/>
      <c r="D18" s="25"/>
      <c r="E18" s="26"/>
      <c r="F18" s="25"/>
      <c r="G18" s="25"/>
      <c r="H18" s="26" t="str">
        <f aca="false">IF(AND(E18&lt;&gt;"",G18&lt;&gt;""),E18/G18,"")</f>
        <v/>
      </c>
      <c r="I18" s="26"/>
      <c r="J18" s="27" t="str">
        <f aca="false">IF(AND(E18&lt;&gt;"",I18&lt;&gt;""),((E18-I18)/I18),"")</f>
        <v/>
      </c>
      <c r="K18" s="25"/>
      <c r="L18" s="25"/>
      <c r="M18" s="25" t="str">
        <f aca="false">IF(E18="","",IF(J18&lt;="",50,IF(J18&lt;=0,100,IF(J18&lt;=0.05,90,IF(J18&lt;=0.1,80,IF(J18&lt;=0.15,70,IF(J18&lt;=0.2,60,IF(J18&lt;=0.3,50,30))))))))</f>
        <v/>
      </c>
      <c r="N18" s="25"/>
    </row>
    <row r="19" customFormat="false" ht="15" hidden="false" customHeight="false" outlineLevel="0" collapsed="false">
      <c r="A19" s="24" t="n">
        <v>15</v>
      </c>
      <c r="B19" s="25"/>
      <c r="C19" s="25"/>
      <c r="D19" s="25"/>
      <c r="E19" s="26"/>
      <c r="F19" s="25"/>
      <c r="G19" s="25"/>
      <c r="H19" s="26" t="str">
        <f aca="false">IF(AND(E19&lt;&gt;"",G19&lt;&gt;""),E19/G19,"")</f>
        <v/>
      </c>
      <c r="I19" s="26"/>
      <c r="J19" s="27" t="str">
        <f aca="false">IF(AND(E19&lt;&gt;"",I19&lt;&gt;""),((E19-I19)/I19),"")</f>
        <v/>
      </c>
      <c r="K19" s="25"/>
      <c r="L19" s="25"/>
      <c r="M19" s="25" t="str">
        <f aca="false">IF(E19="","",IF(J19&lt;="",50,IF(J19&lt;=0,100,IF(J19&lt;=0.05,90,IF(J19&lt;=0.1,80,IF(J19&lt;=0.15,70,IF(J19&lt;=0.2,60,IF(J19&lt;=0.3,50,30))))))))</f>
        <v/>
      </c>
      <c r="N19" s="25"/>
    </row>
    <row r="20" customFormat="false" ht="15" hidden="false" customHeight="false" outlineLevel="0" collapsed="false">
      <c r="A20" s="24" t="n">
        <v>16</v>
      </c>
      <c r="B20" s="25"/>
      <c r="C20" s="25"/>
      <c r="D20" s="25"/>
      <c r="E20" s="26"/>
      <c r="F20" s="25"/>
      <c r="G20" s="25"/>
      <c r="H20" s="26" t="str">
        <f aca="false">IF(AND(E20&lt;&gt;"",G20&lt;&gt;""),E20/G20,"")</f>
        <v/>
      </c>
      <c r="I20" s="26"/>
      <c r="J20" s="27" t="str">
        <f aca="false">IF(AND(E20&lt;&gt;"",I20&lt;&gt;""),((E20-I20)/I20),"")</f>
        <v/>
      </c>
      <c r="K20" s="25"/>
      <c r="L20" s="25"/>
      <c r="M20" s="25" t="str">
        <f aca="false">IF(E20="","",IF(J20&lt;="",50,IF(J20&lt;=0,100,IF(J20&lt;=0.05,90,IF(J20&lt;=0.1,80,IF(J20&lt;=0.15,70,IF(J20&lt;=0.2,60,IF(J20&lt;=0.3,50,30))))))))</f>
        <v/>
      </c>
      <c r="N20" s="25"/>
    </row>
    <row r="21" customFormat="false" ht="15" hidden="false" customHeight="false" outlineLevel="0" collapsed="false">
      <c r="A21" s="24" t="n">
        <v>17</v>
      </c>
      <c r="B21" s="25"/>
      <c r="C21" s="25"/>
      <c r="D21" s="25"/>
      <c r="E21" s="26"/>
      <c r="F21" s="25"/>
      <c r="G21" s="25"/>
      <c r="H21" s="26" t="str">
        <f aca="false">IF(AND(E21&lt;&gt;"",G21&lt;&gt;""),E21/G21,"")</f>
        <v/>
      </c>
      <c r="I21" s="26"/>
      <c r="J21" s="27" t="str">
        <f aca="false">IF(AND(E21&lt;&gt;"",I21&lt;&gt;""),((E21-I21)/I21),"")</f>
        <v/>
      </c>
      <c r="K21" s="25"/>
      <c r="L21" s="25"/>
      <c r="M21" s="25" t="str">
        <f aca="false">IF(E21="","",IF(J21&lt;="",50,IF(J21&lt;=0,100,IF(J21&lt;=0.05,90,IF(J21&lt;=0.1,80,IF(J21&lt;=0.15,70,IF(J21&lt;=0.2,60,IF(J21&lt;=0.3,50,30))))))))</f>
        <v/>
      </c>
      <c r="N21" s="25"/>
    </row>
    <row r="22" customFormat="false" ht="15" hidden="false" customHeight="false" outlineLevel="0" collapsed="false">
      <c r="A22" s="24" t="n">
        <v>18</v>
      </c>
      <c r="B22" s="25"/>
      <c r="C22" s="25"/>
      <c r="D22" s="25"/>
      <c r="E22" s="26"/>
      <c r="F22" s="25"/>
      <c r="G22" s="25"/>
      <c r="H22" s="26" t="str">
        <f aca="false">IF(AND(E22&lt;&gt;"",G22&lt;&gt;""),E22/G22,"")</f>
        <v/>
      </c>
      <c r="I22" s="26"/>
      <c r="J22" s="27" t="str">
        <f aca="false">IF(AND(E22&lt;&gt;"",I22&lt;&gt;""),((E22-I22)/I22),"")</f>
        <v/>
      </c>
      <c r="K22" s="25"/>
      <c r="L22" s="25"/>
      <c r="M22" s="25" t="str">
        <f aca="false">IF(E22="","",IF(J22&lt;="",50,IF(J22&lt;=0,100,IF(J22&lt;=0.05,90,IF(J22&lt;=0.1,80,IF(J22&lt;=0.15,70,IF(J22&lt;=0.2,60,IF(J22&lt;=0.3,50,30))))))))</f>
        <v/>
      </c>
      <c r="N22" s="25"/>
    </row>
    <row r="23" customFormat="false" ht="15" hidden="false" customHeight="false" outlineLevel="0" collapsed="false">
      <c r="A23" s="24" t="n">
        <v>19</v>
      </c>
      <c r="B23" s="25"/>
      <c r="C23" s="25"/>
      <c r="D23" s="25"/>
      <c r="E23" s="26"/>
      <c r="F23" s="25"/>
      <c r="G23" s="25"/>
      <c r="H23" s="26" t="str">
        <f aca="false">IF(AND(E23&lt;&gt;"",G23&lt;&gt;""),E23/G23,"")</f>
        <v/>
      </c>
      <c r="I23" s="26"/>
      <c r="J23" s="27" t="str">
        <f aca="false">IF(AND(E23&lt;&gt;"",I23&lt;&gt;""),((E23-I23)/I23),"")</f>
        <v/>
      </c>
      <c r="K23" s="25"/>
      <c r="L23" s="25"/>
      <c r="M23" s="25" t="str">
        <f aca="false">IF(E23="","",IF(J23&lt;="",50,IF(J23&lt;=0,100,IF(J23&lt;=0.05,90,IF(J23&lt;=0.1,80,IF(J23&lt;=0.15,70,IF(J23&lt;=0.2,60,IF(J23&lt;=0.3,50,30))))))))</f>
        <v/>
      </c>
      <c r="N23" s="25"/>
    </row>
    <row r="24" customFormat="false" ht="15" hidden="false" customHeight="false" outlineLevel="0" collapsed="false">
      <c r="A24" s="24" t="n">
        <v>20</v>
      </c>
      <c r="B24" s="25"/>
      <c r="C24" s="25"/>
      <c r="D24" s="25"/>
      <c r="E24" s="26"/>
      <c r="F24" s="25"/>
      <c r="G24" s="25"/>
      <c r="H24" s="26" t="str">
        <f aca="false">IF(AND(E24&lt;&gt;"",G24&lt;&gt;""),E24/G24,"")</f>
        <v/>
      </c>
      <c r="I24" s="26"/>
      <c r="J24" s="27" t="str">
        <f aca="false">IF(AND(E24&lt;&gt;"",I24&lt;&gt;""),((E24-I24)/I24),"")</f>
        <v/>
      </c>
      <c r="K24" s="25"/>
      <c r="L24" s="25"/>
      <c r="M24" s="25" t="str">
        <f aca="false">IF(E24="","",IF(J24&lt;="",50,IF(J24&lt;=0,100,IF(J24&lt;=0.05,90,IF(J24&lt;=0.1,80,IF(J24&lt;=0.15,70,IF(J24&lt;=0.2,60,IF(J24&lt;=0.3,50,30))))))))</f>
        <v/>
      </c>
      <c r="N24" s="25"/>
    </row>
    <row r="25" customFormat="false" ht="15" hidden="false" customHeight="false" outlineLevel="0" collapsed="false">
      <c r="A25" s="24" t="n">
        <v>21</v>
      </c>
      <c r="B25" s="25"/>
      <c r="C25" s="25"/>
      <c r="D25" s="25"/>
      <c r="E25" s="26"/>
      <c r="F25" s="25"/>
      <c r="G25" s="25"/>
      <c r="H25" s="26" t="str">
        <f aca="false">IF(AND(E25&lt;&gt;"",G25&lt;&gt;""),E25/G25,"")</f>
        <v/>
      </c>
      <c r="I25" s="26"/>
      <c r="J25" s="27" t="str">
        <f aca="false">IF(AND(E25&lt;&gt;"",I25&lt;&gt;""),((E25-I25)/I25),"")</f>
        <v/>
      </c>
      <c r="K25" s="25"/>
      <c r="L25" s="25"/>
      <c r="M25" s="25" t="str">
        <f aca="false">IF(E25="","",IF(J25&lt;="",50,IF(J25&lt;=0,100,IF(J25&lt;=0.05,90,IF(J25&lt;=0.1,80,IF(J25&lt;=0.15,70,IF(J25&lt;=0.2,60,IF(J25&lt;=0.3,50,30))))))))</f>
        <v/>
      </c>
      <c r="N25" s="25"/>
    </row>
    <row r="26" customFormat="false" ht="15" hidden="false" customHeight="false" outlineLevel="0" collapsed="false">
      <c r="A26" s="24" t="n">
        <v>22</v>
      </c>
      <c r="B26" s="25"/>
      <c r="C26" s="25"/>
      <c r="D26" s="25"/>
      <c r="E26" s="26"/>
      <c r="F26" s="25"/>
      <c r="G26" s="25"/>
      <c r="H26" s="26" t="str">
        <f aca="false">IF(AND(E26&lt;&gt;"",G26&lt;&gt;""),E26/G26,"")</f>
        <v/>
      </c>
      <c r="I26" s="26"/>
      <c r="J26" s="27" t="str">
        <f aca="false">IF(AND(E26&lt;&gt;"",I26&lt;&gt;""),((E26-I26)/I26),"")</f>
        <v/>
      </c>
      <c r="K26" s="25"/>
      <c r="L26" s="25"/>
      <c r="M26" s="25" t="str">
        <f aca="false">IF(E26="","",IF(J26&lt;="",50,IF(J26&lt;=0,100,IF(J26&lt;=0.05,90,IF(J26&lt;=0.1,80,IF(J26&lt;=0.15,70,IF(J26&lt;=0.2,60,IF(J26&lt;=0.3,50,30))))))))</f>
        <v/>
      </c>
      <c r="N26" s="25"/>
    </row>
    <row r="27" customFormat="false" ht="15" hidden="false" customHeight="false" outlineLevel="0" collapsed="false">
      <c r="A27" s="24" t="n">
        <v>23</v>
      </c>
      <c r="B27" s="25"/>
      <c r="C27" s="25"/>
      <c r="D27" s="25"/>
      <c r="E27" s="26"/>
      <c r="F27" s="25"/>
      <c r="G27" s="25"/>
      <c r="H27" s="26" t="str">
        <f aca="false">IF(AND(E27&lt;&gt;"",G27&lt;&gt;""),E27/G27,"")</f>
        <v/>
      </c>
      <c r="I27" s="26"/>
      <c r="J27" s="27" t="str">
        <f aca="false">IF(AND(E27&lt;&gt;"",I27&lt;&gt;""),((E27-I27)/I27),"")</f>
        <v/>
      </c>
      <c r="K27" s="25"/>
      <c r="L27" s="25"/>
      <c r="M27" s="25" t="str">
        <f aca="false">IF(E27="","",IF(J27&lt;="",50,IF(J27&lt;=0,100,IF(J27&lt;=0.05,90,IF(J27&lt;=0.1,80,IF(J27&lt;=0.15,70,IF(J27&lt;=0.2,60,IF(J27&lt;=0.3,50,30))))))))</f>
        <v/>
      </c>
      <c r="N27" s="25"/>
    </row>
    <row r="28" customFormat="false" ht="15" hidden="false" customHeight="false" outlineLevel="0" collapsed="false">
      <c r="A28" s="24" t="n">
        <v>24</v>
      </c>
      <c r="B28" s="25"/>
      <c r="C28" s="25"/>
      <c r="D28" s="25"/>
      <c r="E28" s="26"/>
      <c r="F28" s="25"/>
      <c r="G28" s="25"/>
      <c r="H28" s="26" t="str">
        <f aca="false">IF(AND(E28&lt;&gt;"",G28&lt;&gt;""),E28/G28,"")</f>
        <v/>
      </c>
      <c r="I28" s="26"/>
      <c r="J28" s="27" t="str">
        <f aca="false">IF(AND(E28&lt;&gt;"",I28&lt;&gt;""),((E28-I28)/I28),"")</f>
        <v/>
      </c>
      <c r="K28" s="25"/>
      <c r="L28" s="25"/>
      <c r="M28" s="25" t="str">
        <f aca="false">IF(E28="","",IF(J28&lt;="",50,IF(J28&lt;=0,100,IF(J28&lt;=0.05,90,IF(J28&lt;=0.1,80,IF(J28&lt;=0.15,70,IF(J28&lt;=0.2,60,IF(J28&lt;=0.3,50,30))))))))</f>
        <v/>
      </c>
      <c r="N28" s="25"/>
    </row>
    <row r="29" customFormat="false" ht="15" hidden="false" customHeight="false" outlineLevel="0" collapsed="false">
      <c r="A29" s="24" t="n">
        <v>25</v>
      </c>
      <c r="B29" s="25"/>
      <c r="C29" s="25"/>
      <c r="D29" s="25"/>
      <c r="E29" s="26"/>
      <c r="F29" s="25"/>
      <c r="G29" s="25"/>
      <c r="H29" s="26" t="str">
        <f aca="false">IF(AND(E29&lt;&gt;"",G29&lt;&gt;""),E29/G29,"")</f>
        <v/>
      </c>
      <c r="I29" s="26"/>
      <c r="J29" s="27" t="str">
        <f aca="false">IF(AND(E29&lt;&gt;"",I29&lt;&gt;""),((E29-I29)/I29),"")</f>
        <v/>
      </c>
      <c r="K29" s="25"/>
      <c r="L29" s="25"/>
      <c r="M29" s="25" t="str">
        <f aca="false">IF(E29="","",IF(J29&lt;="",50,IF(J29&lt;=0,100,IF(J29&lt;=0.05,90,IF(J29&lt;=0.1,80,IF(J29&lt;=0.15,70,IF(J29&lt;=0.2,60,IF(J29&lt;=0.3,50,30))))))))</f>
        <v/>
      </c>
      <c r="N29" s="25"/>
    </row>
    <row r="30" customFormat="false" ht="15" hidden="false" customHeight="false" outlineLevel="0" collapsed="false">
      <c r="A30" s="24" t="n">
        <v>26</v>
      </c>
      <c r="B30" s="25"/>
      <c r="C30" s="25"/>
      <c r="D30" s="25"/>
      <c r="E30" s="26"/>
      <c r="F30" s="25"/>
      <c r="G30" s="25"/>
      <c r="H30" s="26" t="str">
        <f aca="false">IF(AND(E30&lt;&gt;"",G30&lt;&gt;""),E30/G30,"")</f>
        <v/>
      </c>
      <c r="I30" s="26"/>
      <c r="J30" s="27" t="str">
        <f aca="false">IF(AND(E30&lt;&gt;"",I30&lt;&gt;""),((E30-I30)/I30),"")</f>
        <v/>
      </c>
      <c r="K30" s="25"/>
      <c r="L30" s="25"/>
      <c r="M30" s="25" t="str">
        <f aca="false">IF(E30="","",IF(J30&lt;="",50,IF(J30&lt;=0,100,IF(J30&lt;=0.05,90,IF(J30&lt;=0.1,80,IF(J30&lt;=0.15,70,IF(J30&lt;=0.2,60,IF(J30&lt;=0.3,50,30))))))))</f>
        <v/>
      </c>
      <c r="N30" s="25"/>
    </row>
    <row r="31" customFormat="false" ht="15" hidden="false" customHeight="false" outlineLevel="0" collapsed="false">
      <c r="A31" s="24" t="n">
        <v>27</v>
      </c>
      <c r="B31" s="25"/>
      <c r="C31" s="25"/>
      <c r="D31" s="25"/>
      <c r="E31" s="26"/>
      <c r="F31" s="25"/>
      <c r="G31" s="25"/>
      <c r="H31" s="26" t="str">
        <f aca="false">IF(AND(E31&lt;&gt;"",G31&lt;&gt;""),E31/G31,"")</f>
        <v/>
      </c>
      <c r="I31" s="26"/>
      <c r="J31" s="27" t="str">
        <f aca="false">IF(AND(E31&lt;&gt;"",I31&lt;&gt;""),((E31-I31)/I31),"")</f>
        <v/>
      </c>
      <c r="K31" s="25"/>
      <c r="L31" s="25"/>
      <c r="M31" s="25" t="str">
        <f aca="false">IF(E31="","",IF(J31&lt;="",50,IF(J31&lt;=0,100,IF(J31&lt;=0.05,90,IF(J31&lt;=0.1,80,IF(J31&lt;=0.15,70,IF(J31&lt;=0.2,60,IF(J31&lt;=0.3,50,30))))))))</f>
        <v/>
      </c>
      <c r="N31" s="25"/>
    </row>
    <row r="32" customFormat="false" ht="15" hidden="false" customHeight="false" outlineLevel="0" collapsed="false">
      <c r="A32" s="24" t="n">
        <v>28</v>
      </c>
      <c r="B32" s="25"/>
      <c r="C32" s="25"/>
      <c r="D32" s="25"/>
      <c r="E32" s="26"/>
      <c r="F32" s="25"/>
      <c r="G32" s="25"/>
      <c r="H32" s="26" t="str">
        <f aca="false">IF(AND(E32&lt;&gt;"",G32&lt;&gt;""),E32/G32,"")</f>
        <v/>
      </c>
      <c r="I32" s="26"/>
      <c r="J32" s="27" t="str">
        <f aca="false">IF(AND(E32&lt;&gt;"",I32&lt;&gt;""),((E32-I32)/I32),"")</f>
        <v/>
      </c>
      <c r="K32" s="25"/>
      <c r="L32" s="25"/>
      <c r="M32" s="25" t="str">
        <f aca="false">IF(E32="","",IF(J32&lt;="",50,IF(J32&lt;=0,100,IF(J32&lt;=0.05,90,IF(J32&lt;=0.1,80,IF(J32&lt;=0.15,70,IF(J32&lt;=0.2,60,IF(J32&lt;=0.3,50,30))))))))</f>
        <v/>
      </c>
      <c r="N32" s="25"/>
    </row>
    <row r="33" customFormat="false" ht="15" hidden="false" customHeight="false" outlineLevel="0" collapsed="false">
      <c r="A33" s="24" t="n">
        <v>29</v>
      </c>
      <c r="B33" s="25"/>
      <c r="C33" s="25"/>
      <c r="D33" s="25"/>
      <c r="E33" s="26"/>
      <c r="F33" s="25"/>
      <c r="G33" s="25"/>
      <c r="H33" s="26" t="str">
        <f aca="false">IF(AND(E33&lt;&gt;"",G33&lt;&gt;""),E33/G33,"")</f>
        <v/>
      </c>
      <c r="I33" s="26"/>
      <c r="J33" s="27" t="str">
        <f aca="false">IF(AND(E33&lt;&gt;"",I33&lt;&gt;""),((E33-I33)/I33),"")</f>
        <v/>
      </c>
      <c r="K33" s="25"/>
      <c r="L33" s="25"/>
      <c r="M33" s="25" t="str">
        <f aca="false">IF(E33="","",IF(J33&lt;="",50,IF(J33&lt;=0,100,IF(J33&lt;=0.05,90,IF(J33&lt;=0.1,80,IF(J33&lt;=0.15,70,IF(J33&lt;=0.2,60,IF(J33&lt;=0.3,50,30))))))))</f>
        <v/>
      </c>
      <c r="N33" s="25"/>
    </row>
    <row r="34" customFormat="false" ht="15" hidden="false" customHeight="false" outlineLevel="0" collapsed="false">
      <c r="A34" s="24" t="n">
        <v>30</v>
      </c>
      <c r="B34" s="25"/>
      <c r="C34" s="25"/>
      <c r="D34" s="25"/>
      <c r="E34" s="26"/>
      <c r="F34" s="25"/>
      <c r="G34" s="25"/>
      <c r="H34" s="26" t="str">
        <f aca="false">IF(AND(E34&lt;&gt;"",G34&lt;&gt;""),E34/G34,"")</f>
        <v/>
      </c>
      <c r="I34" s="26"/>
      <c r="J34" s="27" t="str">
        <f aca="false">IF(AND(E34&lt;&gt;"",I34&lt;&gt;""),((E34-I34)/I34),"")</f>
        <v/>
      </c>
      <c r="K34" s="25"/>
      <c r="L34" s="25"/>
      <c r="M34" s="25" t="str">
        <f aca="false">IF(E34="","",IF(J34&lt;="",50,IF(J34&lt;=0,100,IF(J34&lt;=0.05,90,IF(J34&lt;=0.1,80,IF(J34&lt;=0.15,70,IF(J34&lt;=0.2,60,IF(J34&lt;=0.3,50,30))))))))</f>
        <v/>
      </c>
      <c r="N34" s="25"/>
    </row>
    <row r="35" customFormat="false" ht="15" hidden="false" customHeight="false" outlineLevel="0" collapsed="false">
      <c r="A35" s="24" t="n">
        <v>31</v>
      </c>
      <c r="B35" s="25"/>
      <c r="C35" s="25"/>
      <c r="D35" s="25"/>
      <c r="E35" s="26"/>
      <c r="F35" s="25"/>
      <c r="G35" s="25"/>
      <c r="H35" s="26" t="str">
        <f aca="false">IF(AND(E35&lt;&gt;"",G35&lt;&gt;""),E35/G35,"")</f>
        <v/>
      </c>
      <c r="I35" s="26"/>
      <c r="J35" s="27" t="str">
        <f aca="false">IF(AND(E35&lt;&gt;"",I35&lt;&gt;""),((E35-I35)/I35),"")</f>
        <v/>
      </c>
      <c r="K35" s="25"/>
      <c r="L35" s="25"/>
      <c r="M35" s="25" t="str">
        <f aca="false">IF(E35="","",IF(J35&lt;="",50,IF(J35&lt;=0,100,IF(J35&lt;=0.05,90,IF(J35&lt;=0.1,80,IF(J35&lt;=0.15,70,IF(J35&lt;=0.2,60,IF(J35&lt;=0.3,50,30))))))))</f>
        <v/>
      </c>
      <c r="N35" s="25"/>
    </row>
    <row r="36" customFormat="false" ht="15" hidden="false" customHeight="false" outlineLevel="0" collapsed="false">
      <c r="A36" s="24" t="n">
        <v>32</v>
      </c>
      <c r="B36" s="25"/>
      <c r="C36" s="25"/>
      <c r="D36" s="25"/>
      <c r="E36" s="26"/>
      <c r="F36" s="25"/>
      <c r="G36" s="25"/>
      <c r="H36" s="26" t="str">
        <f aca="false">IF(AND(E36&lt;&gt;"",G36&lt;&gt;""),E36/G36,"")</f>
        <v/>
      </c>
      <c r="I36" s="26"/>
      <c r="J36" s="27" t="str">
        <f aca="false">IF(AND(E36&lt;&gt;"",I36&lt;&gt;""),((E36-I36)/I36),"")</f>
        <v/>
      </c>
      <c r="K36" s="25"/>
      <c r="L36" s="25"/>
      <c r="M36" s="25" t="str">
        <f aca="false">IF(E36="","",IF(J36&lt;="",50,IF(J36&lt;=0,100,IF(J36&lt;=0.05,90,IF(J36&lt;=0.1,80,IF(J36&lt;=0.15,70,IF(J36&lt;=0.2,60,IF(J36&lt;=0.3,50,30))))))))</f>
        <v/>
      </c>
      <c r="N36" s="25"/>
    </row>
    <row r="37" customFormat="false" ht="15" hidden="false" customHeight="false" outlineLevel="0" collapsed="false">
      <c r="A37" s="24" t="n">
        <v>33</v>
      </c>
      <c r="B37" s="25"/>
      <c r="C37" s="25"/>
      <c r="D37" s="25"/>
      <c r="E37" s="26"/>
      <c r="F37" s="25"/>
      <c r="G37" s="25"/>
      <c r="H37" s="26" t="str">
        <f aca="false">IF(AND(E37&lt;&gt;"",G37&lt;&gt;""),E37/G37,"")</f>
        <v/>
      </c>
      <c r="I37" s="26"/>
      <c r="J37" s="27" t="str">
        <f aca="false">IF(AND(E37&lt;&gt;"",I37&lt;&gt;""),((E37-I37)/I37),"")</f>
        <v/>
      </c>
      <c r="K37" s="25"/>
      <c r="L37" s="25"/>
      <c r="M37" s="25" t="str">
        <f aca="false">IF(E37="","",IF(J37&lt;="",50,IF(J37&lt;=0,100,IF(J37&lt;=0.05,90,IF(J37&lt;=0.1,80,IF(J37&lt;=0.15,70,IF(J37&lt;=0.2,60,IF(J37&lt;=0.3,50,30))))))))</f>
        <v/>
      </c>
      <c r="N37" s="25"/>
    </row>
    <row r="38" customFormat="false" ht="15" hidden="false" customHeight="false" outlineLevel="0" collapsed="false">
      <c r="A38" s="24" t="n">
        <v>34</v>
      </c>
      <c r="B38" s="25"/>
      <c r="C38" s="25"/>
      <c r="D38" s="25"/>
      <c r="E38" s="26"/>
      <c r="F38" s="25"/>
      <c r="G38" s="25"/>
      <c r="H38" s="26" t="str">
        <f aca="false">IF(AND(E38&lt;&gt;"",G38&lt;&gt;""),E38/G38,"")</f>
        <v/>
      </c>
      <c r="I38" s="26"/>
      <c r="J38" s="27" t="str">
        <f aca="false">IF(AND(E38&lt;&gt;"",I38&lt;&gt;""),((E38-I38)/I38),"")</f>
        <v/>
      </c>
      <c r="K38" s="25"/>
      <c r="L38" s="25"/>
      <c r="M38" s="25" t="str">
        <f aca="false">IF(E38="","",IF(J38&lt;="",50,IF(J38&lt;=0,100,IF(J38&lt;=0.05,90,IF(J38&lt;=0.1,80,IF(J38&lt;=0.15,70,IF(J38&lt;=0.2,60,IF(J38&lt;=0.3,50,30))))))))</f>
        <v/>
      </c>
      <c r="N38" s="25"/>
    </row>
    <row r="39" customFormat="false" ht="15" hidden="false" customHeight="false" outlineLevel="0" collapsed="false">
      <c r="A39" s="24" t="n">
        <v>35</v>
      </c>
      <c r="B39" s="25"/>
      <c r="C39" s="25"/>
      <c r="D39" s="25"/>
      <c r="E39" s="26"/>
      <c r="F39" s="25"/>
      <c r="G39" s="25"/>
      <c r="H39" s="26" t="str">
        <f aca="false">IF(AND(E39&lt;&gt;"",G39&lt;&gt;""),E39/G39,"")</f>
        <v/>
      </c>
      <c r="I39" s="26"/>
      <c r="J39" s="27" t="str">
        <f aca="false">IF(AND(E39&lt;&gt;"",I39&lt;&gt;""),((E39-I39)/I39),"")</f>
        <v/>
      </c>
      <c r="K39" s="25"/>
      <c r="L39" s="25"/>
      <c r="M39" s="25" t="str">
        <f aca="false">IF(E39="","",IF(J39&lt;="",50,IF(J39&lt;=0,100,IF(J39&lt;=0.05,90,IF(J39&lt;=0.1,80,IF(J39&lt;=0.15,70,IF(J39&lt;=0.2,60,IF(J39&lt;=0.3,50,30))))))))</f>
        <v/>
      </c>
      <c r="N39" s="25"/>
    </row>
    <row r="40" customFormat="false" ht="15" hidden="false" customHeight="false" outlineLevel="0" collapsed="false">
      <c r="A40" s="24" t="n">
        <v>36</v>
      </c>
      <c r="B40" s="25"/>
      <c r="C40" s="25"/>
      <c r="D40" s="25"/>
      <c r="E40" s="26"/>
      <c r="F40" s="25"/>
      <c r="G40" s="25"/>
      <c r="H40" s="26" t="str">
        <f aca="false">IF(AND(E40&lt;&gt;"",G40&lt;&gt;""),E40/G40,"")</f>
        <v/>
      </c>
      <c r="I40" s="26"/>
      <c r="J40" s="27" t="str">
        <f aca="false">IF(AND(E40&lt;&gt;"",I40&lt;&gt;""),((E40-I40)/I40),"")</f>
        <v/>
      </c>
      <c r="K40" s="25"/>
      <c r="L40" s="25"/>
      <c r="M40" s="25" t="str">
        <f aca="false">IF(E40="","",IF(J40&lt;="",50,IF(J40&lt;=0,100,IF(J40&lt;=0.05,90,IF(J40&lt;=0.1,80,IF(J40&lt;=0.15,70,IF(J40&lt;=0.2,60,IF(J40&lt;=0.3,50,30))))))))</f>
        <v/>
      </c>
      <c r="N40" s="25"/>
    </row>
    <row r="41" customFormat="false" ht="15" hidden="false" customHeight="false" outlineLevel="0" collapsed="false">
      <c r="A41" s="24" t="n">
        <v>37</v>
      </c>
      <c r="B41" s="25"/>
      <c r="C41" s="25"/>
      <c r="D41" s="25"/>
      <c r="E41" s="26"/>
      <c r="F41" s="25"/>
      <c r="G41" s="25"/>
      <c r="H41" s="26" t="str">
        <f aca="false">IF(AND(E41&lt;&gt;"",G41&lt;&gt;""),E41/G41,"")</f>
        <v/>
      </c>
      <c r="I41" s="26"/>
      <c r="J41" s="27" t="str">
        <f aca="false">IF(AND(E41&lt;&gt;"",I41&lt;&gt;""),((E41-I41)/I41),"")</f>
        <v/>
      </c>
      <c r="K41" s="25"/>
      <c r="L41" s="25"/>
      <c r="M41" s="25" t="str">
        <f aca="false">IF(E41="","",IF(J41&lt;="",50,IF(J41&lt;=0,100,IF(J41&lt;=0.05,90,IF(J41&lt;=0.1,80,IF(J41&lt;=0.15,70,IF(J41&lt;=0.2,60,IF(J41&lt;=0.3,50,30))))))))</f>
        <v/>
      </c>
      <c r="N41" s="25"/>
    </row>
    <row r="42" customFormat="false" ht="15" hidden="false" customHeight="false" outlineLevel="0" collapsed="false">
      <c r="A42" s="24" t="n">
        <v>38</v>
      </c>
      <c r="B42" s="25"/>
      <c r="C42" s="25"/>
      <c r="D42" s="25"/>
      <c r="E42" s="26"/>
      <c r="F42" s="25"/>
      <c r="G42" s="25"/>
      <c r="H42" s="26" t="str">
        <f aca="false">IF(AND(E42&lt;&gt;"",G42&lt;&gt;""),E42/G42,"")</f>
        <v/>
      </c>
      <c r="I42" s="26"/>
      <c r="J42" s="27" t="str">
        <f aca="false">IF(AND(E42&lt;&gt;"",I42&lt;&gt;""),((E42-I42)/I42),"")</f>
        <v/>
      </c>
      <c r="K42" s="25"/>
      <c r="L42" s="25"/>
      <c r="M42" s="25" t="str">
        <f aca="false">IF(E42="","",IF(J42&lt;="",50,IF(J42&lt;=0,100,IF(J42&lt;=0.05,90,IF(J42&lt;=0.1,80,IF(J42&lt;=0.15,70,IF(J42&lt;=0.2,60,IF(J42&lt;=0.3,50,30))))))))</f>
        <v/>
      </c>
      <c r="N42" s="25"/>
    </row>
    <row r="43" customFormat="false" ht="15" hidden="false" customHeight="false" outlineLevel="0" collapsed="false">
      <c r="A43" s="24" t="n">
        <v>39</v>
      </c>
      <c r="B43" s="25"/>
      <c r="C43" s="25"/>
      <c r="D43" s="25"/>
      <c r="E43" s="26"/>
      <c r="F43" s="25"/>
      <c r="G43" s="25"/>
      <c r="H43" s="26" t="str">
        <f aca="false">IF(AND(E43&lt;&gt;"",G43&lt;&gt;""),E43/G43,"")</f>
        <v/>
      </c>
      <c r="I43" s="26"/>
      <c r="J43" s="27" t="str">
        <f aca="false">IF(AND(E43&lt;&gt;"",I43&lt;&gt;""),((E43-I43)/I43),"")</f>
        <v/>
      </c>
      <c r="K43" s="25"/>
      <c r="L43" s="25"/>
      <c r="M43" s="25" t="str">
        <f aca="false">IF(E43="","",IF(J43&lt;="",50,IF(J43&lt;=0,100,IF(J43&lt;=0.05,90,IF(J43&lt;=0.1,80,IF(J43&lt;=0.15,70,IF(J43&lt;=0.2,60,IF(J43&lt;=0.3,50,30))))))))</f>
        <v/>
      </c>
      <c r="N43" s="25"/>
    </row>
    <row r="44" customFormat="false" ht="15" hidden="false" customHeight="false" outlineLevel="0" collapsed="false">
      <c r="A44" s="24" t="n">
        <v>40</v>
      </c>
      <c r="B44" s="25"/>
      <c r="C44" s="25"/>
      <c r="D44" s="25"/>
      <c r="E44" s="26"/>
      <c r="F44" s="25"/>
      <c r="G44" s="25"/>
      <c r="H44" s="26" t="str">
        <f aca="false">IF(AND(E44&lt;&gt;"",G44&lt;&gt;""),E44/G44,"")</f>
        <v/>
      </c>
      <c r="I44" s="26"/>
      <c r="J44" s="27" t="str">
        <f aca="false">IF(AND(E44&lt;&gt;"",I44&lt;&gt;""),((E44-I44)/I44),"")</f>
        <v/>
      </c>
      <c r="K44" s="25"/>
      <c r="L44" s="25"/>
      <c r="M44" s="25" t="str">
        <f aca="false">IF(E44="","",IF(J44&lt;="",50,IF(J44&lt;=0,100,IF(J44&lt;=0.05,90,IF(J44&lt;=0.1,80,IF(J44&lt;=0.15,70,IF(J44&lt;=0.2,60,IF(J44&lt;=0.3,50,30))))))))</f>
        <v/>
      </c>
      <c r="N44" s="25"/>
    </row>
    <row r="45" customFormat="false" ht="15" hidden="false" customHeight="false" outlineLevel="0" collapsed="false">
      <c r="A45" s="24" t="n">
        <v>41</v>
      </c>
      <c r="B45" s="25"/>
      <c r="C45" s="25"/>
      <c r="D45" s="25"/>
      <c r="E45" s="26"/>
      <c r="F45" s="25"/>
      <c r="G45" s="25"/>
      <c r="H45" s="26" t="str">
        <f aca="false">IF(AND(E45&lt;&gt;"",G45&lt;&gt;""),E45/G45,"")</f>
        <v/>
      </c>
      <c r="I45" s="26"/>
      <c r="J45" s="27" t="str">
        <f aca="false">IF(AND(E45&lt;&gt;"",I45&lt;&gt;""),((E45-I45)/I45),"")</f>
        <v/>
      </c>
      <c r="K45" s="25"/>
      <c r="L45" s="25"/>
      <c r="M45" s="25" t="str">
        <f aca="false">IF(E45="","",IF(J45&lt;="",50,IF(J45&lt;=0,100,IF(J45&lt;=0.05,90,IF(J45&lt;=0.1,80,IF(J45&lt;=0.15,70,IF(J45&lt;=0.2,60,IF(J45&lt;=0.3,50,30))))))))</f>
        <v/>
      </c>
      <c r="N45" s="25"/>
    </row>
    <row r="46" customFormat="false" ht="15" hidden="false" customHeight="false" outlineLevel="0" collapsed="false">
      <c r="A46" s="24" t="n">
        <v>42</v>
      </c>
      <c r="B46" s="25"/>
      <c r="C46" s="25"/>
      <c r="D46" s="25"/>
      <c r="E46" s="26"/>
      <c r="F46" s="25"/>
      <c r="G46" s="25"/>
      <c r="H46" s="26" t="str">
        <f aca="false">IF(AND(E46&lt;&gt;"",G46&lt;&gt;""),E46/G46,"")</f>
        <v/>
      </c>
      <c r="I46" s="26"/>
      <c r="J46" s="27" t="str">
        <f aca="false">IF(AND(E46&lt;&gt;"",I46&lt;&gt;""),((E46-I46)/I46),"")</f>
        <v/>
      </c>
      <c r="K46" s="25"/>
      <c r="L46" s="25"/>
      <c r="M46" s="25" t="str">
        <f aca="false">IF(E46="","",IF(J46&lt;="",50,IF(J46&lt;=0,100,IF(J46&lt;=0.05,90,IF(J46&lt;=0.1,80,IF(J46&lt;=0.15,70,IF(J46&lt;=0.2,60,IF(J46&lt;=0.3,50,30))))))))</f>
        <v/>
      </c>
      <c r="N46" s="25"/>
    </row>
    <row r="47" customFormat="false" ht="15" hidden="false" customHeight="false" outlineLevel="0" collapsed="false">
      <c r="A47" s="24" t="n">
        <v>43</v>
      </c>
      <c r="B47" s="25"/>
      <c r="C47" s="25"/>
      <c r="D47" s="25"/>
      <c r="E47" s="26"/>
      <c r="F47" s="25"/>
      <c r="G47" s="25"/>
      <c r="H47" s="26" t="str">
        <f aca="false">IF(AND(E47&lt;&gt;"",G47&lt;&gt;""),E47/G47,"")</f>
        <v/>
      </c>
      <c r="I47" s="26"/>
      <c r="J47" s="27" t="str">
        <f aca="false">IF(AND(E47&lt;&gt;"",I47&lt;&gt;""),((E47-I47)/I47),"")</f>
        <v/>
      </c>
      <c r="K47" s="25"/>
      <c r="L47" s="25"/>
      <c r="M47" s="25" t="str">
        <f aca="false">IF(E47="","",IF(J47&lt;="",50,IF(J47&lt;=0,100,IF(J47&lt;=0.05,90,IF(J47&lt;=0.1,80,IF(J47&lt;=0.15,70,IF(J47&lt;=0.2,60,IF(J47&lt;=0.3,50,30))))))))</f>
        <v/>
      </c>
      <c r="N47" s="25"/>
    </row>
    <row r="48" customFormat="false" ht="15" hidden="false" customHeight="false" outlineLevel="0" collapsed="false">
      <c r="A48" s="24" t="n">
        <v>44</v>
      </c>
      <c r="B48" s="25"/>
      <c r="C48" s="25"/>
      <c r="D48" s="25"/>
      <c r="E48" s="26"/>
      <c r="F48" s="25"/>
      <c r="G48" s="25"/>
      <c r="H48" s="26" t="str">
        <f aca="false">IF(AND(E48&lt;&gt;"",G48&lt;&gt;""),E48/G48,"")</f>
        <v/>
      </c>
      <c r="I48" s="26"/>
      <c r="J48" s="27" t="str">
        <f aca="false">IF(AND(E48&lt;&gt;"",I48&lt;&gt;""),((E48-I48)/I48),"")</f>
        <v/>
      </c>
      <c r="K48" s="25"/>
      <c r="L48" s="25"/>
      <c r="M48" s="25" t="str">
        <f aca="false">IF(E48="","",IF(J48&lt;="",50,IF(J48&lt;=0,100,IF(J48&lt;=0.05,90,IF(J48&lt;=0.1,80,IF(J48&lt;=0.15,70,IF(J48&lt;=0.2,60,IF(J48&lt;=0.3,50,30))))))))</f>
        <v/>
      </c>
      <c r="N48" s="25"/>
    </row>
    <row r="49" customFormat="false" ht="15" hidden="false" customHeight="false" outlineLevel="0" collapsed="false">
      <c r="A49" s="24" t="n">
        <v>45</v>
      </c>
      <c r="B49" s="25"/>
      <c r="C49" s="25"/>
      <c r="D49" s="25"/>
      <c r="E49" s="26"/>
      <c r="F49" s="25"/>
      <c r="G49" s="25"/>
      <c r="H49" s="26" t="str">
        <f aca="false">IF(AND(E49&lt;&gt;"",G49&lt;&gt;""),E49/G49,"")</f>
        <v/>
      </c>
      <c r="I49" s="26"/>
      <c r="J49" s="27" t="str">
        <f aca="false">IF(AND(E49&lt;&gt;"",I49&lt;&gt;""),((E49-I49)/I49),"")</f>
        <v/>
      </c>
      <c r="K49" s="25"/>
      <c r="L49" s="25"/>
      <c r="M49" s="25" t="str">
        <f aca="false">IF(E49="","",IF(J49&lt;="",50,IF(J49&lt;=0,100,IF(J49&lt;=0.05,90,IF(J49&lt;=0.1,80,IF(J49&lt;=0.15,70,IF(J49&lt;=0.2,60,IF(J49&lt;=0.3,50,30))))))))</f>
        <v/>
      </c>
      <c r="N49" s="25"/>
    </row>
    <row r="50" customFormat="false" ht="15" hidden="false" customHeight="false" outlineLevel="0" collapsed="false">
      <c r="A50" s="24" t="n">
        <v>46</v>
      </c>
      <c r="B50" s="25"/>
      <c r="C50" s="25"/>
      <c r="D50" s="25"/>
      <c r="E50" s="26"/>
      <c r="F50" s="25"/>
      <c r="G50" s="25"/>
      <c r="H50" s="26" t="str">
        <f aca="false">IF(AND(E50&lt;&gt;"",G50&lt;&gt;""),E50/G50,"")</f>
        <v/>
      </c>
      <c r="I50" s="26"/>
      <c r="J50" s="27" t="str">
        <f aca="false">IF(AND(E50&lt;&gt;"",I50&lt;&gt;""),((E50-I50)/I50),"")</f>
        <v/>
      </c>
      <c r="K50" s="25"/>
      <c r="L50" s="25"/>
      <c r="M50" s="25" t="str">
        <f aca="false">IF(E50="","",IF(J50&lt;="",50,IF(J50&lt;=0,100,IF(J50&lt;=0.05,90,IF(J50&lt;=0.1,80,IF(J50&lt;=0.15,70,IF(J50&lt;=0.2,60,IF(J50&lt;=0.3,50,30))))))))</f>
        <v/>
      </c>
      <c r="N50" s="25"/>
    </row>
    <row r="51" customFormat="false" ht="15" hidden="false" customHeight="false" outlineLevel="0" collapsed="false">
      <c r="A51" s="24" t="n">
        <v>47</v>
      </c>
      <c r="B51" s="25"/>
      <c r="C51" s="25"/>
      <c r="D51" s="25"/>
      <c r="E51" s="26"/>
      <c r="F51" s="25"/>
      <c r="G51" s="25"/>
      <c r="H51" s="26" t="str">
        <f aca="false">IF(AND(E51&lt;&gt;"",G51&lt;&gt;""),E51/G51,"")</f>
        <v/>
      </c>
      <c r="I51" s="26"/>
      <c r="J51" s="27" t="str">
        <f aca="false">IF(AND(E51&lt;&gt;"",I51&lt;&gt;""),((E51-I51)/I51),"")</f>
        <v/>
      </c>
      <c r="K51" s="25"/>
      <c r="L51" s="25"/>
      <c r="M51" s="25" t="str">
        <f aca="false">IF(E51="","",IF(J51&lt;="",50,IF(J51&lt;=0,100,IF(J51&lt;=0.05,90,IF(J51&lt;=0.1,80,IF(J51&lt;=0.15,70,IF(J51&lt;=0.2,60,IF(J51&lt;=0.3,50,30))))))))</f>
        <v/>
      </c>
      <c r="N51" s="25"/>
    </row>
    <row r="52" customFormat="false" ht="15" hidden="false" customHeight="false" outlineLevel="0" collapsed="false">
      <c r="A52" s="24" t="n">
        <v>48</v>
      </c>
      <c r="B52" s="25"/>
      <c r="C52" s="25"/>
      <c r="D52" s="25"/>
      <c r="E52" s="26"/>
      <c r="F52" s="25"/>
      <c r="G52" s="25"/>
      <c r="H52" s="26" t="str">
        <f aca="false">IF(AND(E52&lt;&gt;"",G52&lt;&gt;""),E52/G52,"")</f>
        <v/>
      </c>
      <c r="I52" s="26"/>
      <c r="J52" s="27" t="str">
        <f aca="false">IF(AND(E52&lt;&gt;"",I52&lt;&gt;""),((E52-I52)/I52),"")</f>
        <v/>
      </c>
      <c r="K52" s="25"/>
      <c r="L52" s="25"/>
      <c r="M52" s="25" t="str">
        <f aca="false">IF(E52="","",IF(J52&lt;="",50,IF(J52&lt;=0,100,IF(J52&lt;=0.05,90,IF(J52&lt;=0.1,80,IF(J52&lt;=0.15,70,IF(J52&lt;=0.2,60,IF(J52&lt;=0.3,50,30))))))))</f>
        <v/>
      </c>
      <c r="N52" s="25"/>
    </row>
    <row r="53" customFormat="false" ht="15" hidden="false" customHeight="false" outlineLevel="0" collapsed="false">
      <c r="A53" s="24" t="n">
        <v>49</v>
      </c>
      <c r="B53" s="25"/>
      <c r="C53" s="25"/>
      <c r="D53" s="25"/>
      <c r="E53" s="26"/>
      <c r="F53" s="25"/>
      <c r="G53" s="25"/>
      <c r="H53" s="26" t="str">
        <f aca="false">IF(AND(E53&lt;&gt;"",G53&lt;&gt;""),E53/G53,"")</f>
        <v/>
      </c>
      <c r="I53" s="26"/>
      <c r="J53" s="27" t="str">
        <f aca="false">IF(AND(E53&lt;&gt;"",I53&lt;&gt;""),((E53-I53)/I53),"")</f>
        <v/>
      </c>
      <c r="K53" s="25"/>
      <c r="L53" s="25"/>
      <c r="M53" s="25" t="str">
        <f aca="false">IF(E53="","",IF(J53&lt;="",50,IF(J53&lt;=0,100,IF(J53&lt;=0.05,90,IF(J53&lt;=0.1,80,IF(J53&lt;=0.15,70,IF(J53&lt;=0.2,60,IF(J53&lt;=0.3,50,30))))))))</f>
        <v/>
      </c>
      <c r="N53" s="25"/>
    </row>
    <row r="54" customFormat="false" ht="15" hidden="false" customHeight="false" outlineLevel="0" collapsed="false">
      <c r="A54" s="24" t="n">
        <v>50</v>
      </c>
      <c r="B54" s="25"/>
      <c r="C54" s="25"/>
      <c r="D54" s="25"/>
      <c r="E54" s="26"/>
      <c r="F54" s="25"/>
      <c r="G54" s="25"/>
      <c r="H54" s="26" t="str">
        <f aca="false">IF(AND(E54&lt;&gt;"",G54&lt;&gt;""),E54/G54,"")</f>
        <v/>
      </c>
      <c r="I54" s="26"/>
      <c r="J54" s="27" t="str">
        <f aca="false">IF(AND(E54&lt;&gt;"",I54&lt;&gt;""),((E54-I54)/I54),"")</f>
        <v/>
      </c>
      <c r="K54" s="25"/>
      <c r="L54" s="25"/>
      <c r="M54" s="25" t="str">
        <f aca="false">IF(E54="","",IF(J54&lt;="",50,IF(J54&lt;=0,100,IF(J54&lt;=0.05,90,IF(J54&lt;=0.1,80,IF(J54&lt;=0.15,70,IF(J54&lt;=0.2,60,IF(J54&lt;=0.3,50,30))))))))</f>
        <v/>
      </c>
      <c r="N54" s="25"/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55"/>
  </cols>
  <sheetData>
    <row r="1" customFormat="false" ht="39.75" hidden="false" customHeight="true" outlineLevel="0" collapsed="false">
      <c r="A1" s="28" t="s">
        <v>100</v>
      </c>
      <c r="B1" s="28"/>
      <c r="C1" s="28"/>
      <c r="D1" s="28"/>
      <c r="E1" s="28"/>
      <c r="F1" s="28"/>
    </row>
    <row r="3" customFormat="false" ht="15" hidden="false" customHeight="false" outlineLevel="0" collapsed="false">
      <c r="A3" s="29" t="s">
        <v>101</v>
      </c>
      <c r="B3" s="29" t="s">
        <v>102</v>
      </c>
      <c r="C3" s="29" t="s">
        <v>103</v>
      </c>
      <c r="D3" s="29" t="s">
        <v>104</v>
      </c>
    </row>
    <row r="4" customFormat="false" ht="23.85" hidden="false" customHeight="false" outlineLevel="0" collapsed="false">
      <c r="A4" s="30" t="s">
        <v>105</v>
      </c>
      <c r="B4" s="31" t="s">
        <v>106</v>
      </c>
      <c r="C4" s="25" t="s">
        <v>107</v>
      </c>
      <c r="D4" s="25" t="s">
        <v>108</v>
      </c>
    </row>
    <row r="5" customFormat="false" ht="23.85" hidden="false" customHeight="false" outlineLevel="0" collapsed="false">
      <c r="A5" s="30" t="s">
        <v>109</v>
      </c>
      <c r="B5" s="32" t="s">
        <v>110</v>
      </c>
      <c r="C5" s="25" t="s">
        <v>111</v>
      </c>
      <c r="D5" s="25" t="s">
        <v>112</v>
      </c>
    </row>
    <row r="6" customFormat="false" ht="15" hidden="false" customHeight="false" outlineLevel="0" collapsed="false">
      <c r="A6" s="30" t="s">
        <v>113</v>
      </c>
      <c r="B6" s="30" t="s">
        <v>114</v>
      </c>
      <c r="C6" s="25" t="s">
        <v>115</v>
      </c>
      <c r="D6" s="25" t="s">
        <v>116</v>
      </c>
    </row>
    <row r="7" customFormat="false" ht="15" hidden="false" customHeight="false" outlineLevel="0" collapsed="false">
      <c r="A7" s="30" t="s">
        <v>117</v>
      </c>
      <c r="B7" s="30" t="s">
        <v>118</v>
      </c>
      <c r="C7" s="25" t="s">
        <v>119</v>
      </c>
      <c r="D7" s="25" t="s">
        <v>120</v>
      </c>
    </row>
    <row r="8" customFormat="false" ht="15" hidden="false" customHeight="false" outlineLevel="0" collapsed="false">
      <c r="A8" s="30" t="s">
        <v>121</v>
      </c>
      <c r="B8" s="30" t="s">
        <v>122</v>
      </c>
      <c r="C8" s="25" t="s">
        <v>123</v>
      </c>
      <c r="D8" s="25" t="s">
        <v>124</v>
      </c>
    </row>
    <row r="9" customFormat="false" ht="23.85" hidden="false" customHeight="false" outlineLevel="0" collapsed="false">
      <c r="A9" s="30" t="s">
        <v>125</v>
      </c>
      <c r="B9" s="33" t="s">
        <v>126</v>
      </c>
      <c r="C9" s="25" t="s">
        <v>127</v>
      </c>
      <c r="D9" s="25" t="s">
        <v>128</v>
      </c>
    </row>
    <row r="12" customFormat="false" ht="15" hidden="false" customHeight="true" outlineLevel="0" collapsed="false">
      <c r="A12" s="34" t="s">
        <v>129</v>
      </c>
      <c r="B12" s="34"/>
      <c r="C12" s="34"/>
      <c r="D12" s="34"/>
    </row>
    <row r="14" customFormat="false" ht="15" hidden="false" customHeight="false" outlineLevel="0" collapsed="false">
      <c r="A14" s="35" t="s">
        <v>130</v>
      </c>
      <c r="B14" s="35" t="s">
        <v>131</v>
      </c>
      <c r="C14" s="35" t="s">
        <v>132</v>
      </c>
    </row>
    <row r="15" customFormat="false" ht="15" hidden="false" customHeight="false" outlineLevel="0" collapsed="false">
      <c r="A15" s="25" t="s">
        <v>133</v>
      </c>
      <c r="B15" s="25" t="s">
        <v>134</v>
      </c>
      <c r="C15" s="25" t="s">
        <v>135</v>
      </c>
    </row>
    <row r="16" customFormat="false" ht="35.05" hidden="false" customHeight="false" outlineLevel="0" collapsed="false">
      <c r="A16" s="25" t="s">
        <v>136</v>
      </c>
      <c r="B16" s="25" t="s">
        <v>134</v>
      </c>
      <c r="C16" s="25" t="s">
        <v>137</v>
      </c>
    </row>
    <row r="17" customFormat="false" ht="23.85" hidden="false" customHeight="false" outlineLevel="0" collapsed="false">
      <c r="A17" s="25" t="s">
        <v>138</v>
      </c>
      <c r="B17" s="25" t="s">
        <v>139</v>
      </c>
      <c r="C17" s="25" t="s">
        <v>140</v>
      </c>
    </row>
    <row r="18" customFormat="false" ht="23.85" hidden="false" customHeight="false" outlineLevel="0" collapsed="false">
      <c r="A18" s="25" t="s">
        <v>141</v>
      </c>
      <c r="B18" s="25" t="s">
        <v>134</v>
      </c>
      <c r="C18" s="25" t="s">
        <v>142</v>
      </c>
    </row>
    <row r="19" customFormat="false" ht="35.05" hidden="false" customHeight="false" outlineLevel="0" collapsed="false">
      <c r="A19" s="25" t="s">
        <v>143</v>
      </c>
      <c r="B19" s="25" t="s">
        <v>139</v>
      </c>
      <c r="C19" s="25" t="s">
        <v>144</v>
      </c>
    </row>
    <row r="20" customFormat="false" ht="23.85" hidden="false" customHeight="false" outlineLevel="0" collapsed="false">
      <c r="A20" s="25" t="s">
        <v>145</v>
      </c>
      <c r="B20" s="25" t="s">
        <v>134</v>
      </c>
      <c r="C20" s="25" t="s">
        <v>146</v>
      </c>
    </row>
    <row r="21" customFormat="false" ht="23.85" hidden="false" customHeight="false" outlineLevel="0" collapsed="false">
      <c r="A21" s="25" t="s">
        <v>147</v>
      </c>
      <c r="B21" s="25" t="s">
        <v>134</v>
      </c>
      <c r="C21" s="25" t="s">
        <v>148</v>
      </c>
    </row>
    <row r="22" customFormat="false" ht="35.05" hidden="false" customHeight="false" outlineLevel="0" collapsed="false">
      <c r="A22" s="25" t="s">
        <v>149</v>
      </c>
      <c r="B22" s="25" t="s">
        <v>139</v>
      </c>
      <c r="C22" s="25" t="s">
        <v>150</v>
      </c>
    </row>
  </sheetData>
  <mergeCells count="2">
    <mergeCell ref="A1:F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39.75" hidden="false" customHeight="true" outlineLevel="0" collapsed="false">
      <c r="A1" s="36" t="s">
        <v>151</v>
      </c>
      <c r="B1" s="36"/>
      <c r="C1" s="36"/>
    </row>
    <row r="3" customFormat="false" ht="24.75" hidden="false" customHeight="true" outlineLevel="0" collapsed="false">
      <c r="A3" s="37" t="s">
        <v>152</v>
      </c>
      <c r="B3" s="37" t="s">
        <v>153</v>
      </c>
      <c r="C3" s="37" t="s">
        <v>154</v>
      </c>
    </row>
    <row r="4" customFormat="false" ht="60" hidden="false" customHeight="true" outlineLevel="0" collapsed="false">
      <c r="A4" s="38" t="s">
        <v>155</v>
      </c>
      <c r="B4" s="38" t="s">
        <v>156</v>
      </c>
      <c r="C4" s="38" t="s">
        <v>157</v>
      </c>
    </row>
    <row r="5" customFormat="false" ht="60" hidden="false" customHeight="true" outlineLevel="0" collapsed="false">
      <c r="A5" s="38" t="s">
        <v>158</v>
      </c>
      <c r="B5" s="38" t="s">
        <v>159</v>
      </c>
      <c r="C5" s="38" t="s">
        <v>160</v>
      </c>
    </row>
    <row r="6" customFormat="false" ht="60" hidden="false" customHeight="true" outlineLevel="0" collapsed="false">
      <c r="A6" s="38" t="s">
        <v>161</v>
      </c>
      <c r="B6" s="38" t="s">
        <v>162</v>
      </c>
      <c r="C6" s="38" t="s">
        <v>163</v>
      </c>
    </row>
    <row r="7" customFormat="false" ht="60" hidden="false" customHeight="true" outlineLevel="0" collapsed="false">
      <c r="A7" s="38" t="s">
        <v>164</v>
      </c>
      <c r="B7" s="38" t="s">
        <v>165</v>
      </c>
      <c r="C7" s="38" t="s">
        <v>166</v>
      </c>
    </row>
    <row r="8" customFormat="false" ht="60" hidden="false" customHeight="true" outlineLevel="0" collapsed="false">
      <c r="A8" s="38" t="s">
        <v>167</v>
      </c>
      <c r="B8" s="38" t="s">
        <v>168</v>
      </c>
      <c r="C8" s="38" t="s">
        <v>169</v>
      </c>
    </row>
    <row r="9" customFormat="false" ht="60" hidden="false" customHeight="true" outlineLevel="0" collapsed="false">
      <c r="A9" s="38" t="s">
        <v>170</v>
      </c>
      <c r="B9" s="38" t="s">
        <v>171</v>
      </c>
      <c r="C9" s="38" t="s">
        <v>172</v>
      </c>
    </row>
    <row r="10" customFormat="false" ht="60" hidden="false" customHeight="true" outlineLevel="0" collapsed="false">
      <c r="A10" s="38" t="s">
        <v>173</v>
      </c>
      <c r="B10" s="38" t="s">
        <v>174</v>
      </c>
      <c r="C10" s="38" t="s">
        <v>175</v>
      </c>
    </row>
    <row r="11" customFormat="false" ht="60" hidden="false" customHeight="true" outlineLevel="0" collapsed="false">
      <c r="A11" s="38" t="s">
        <v>176</v>
      </c>
      <c r="B11" s="38" t="s">
        <v>177</v>
      </c>
      <c r="C11" s="38" t="s">
        <v>178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2026-03-08T14:05:29Z</dcterms:created>
  <dc:creator>openpyxl</dc:creator>
  <dc:description/>
  <dc:language>en-US</dc:language>
  <cp:lastModifiedBy/>
  <dcterms:modified xsi:type="dcterms:W3CDTF">2026-03-08T14:05:29Z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